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A63ED3A1-9429-3D75-F2AA-CA7E51A8F3A1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sandrawojciechowska/Desktop/"/>
    </mc:Choice>
  </mc:AlternateContent>
  <xr:revisionPtr revIDLastSave="0" documentId="13_ncr:1_{46C0D561-CA17-6F4F-9307-023A4F933183}" xr6:coauthVersionLast="47" xr6:coauthVersionMax="47" xr10:uidLastSave="{00000000-0000-0000-0000-000000000000}"/>
  <bookViews>
    <workbookView xWindow="0" yWindow="500" windowWidth="28800" windowHeight="16120" xr2:uid="{87A33292-A180-1B44-84FF-4E10A98E8B46}"/>
  </bookViews>
  <sheets>
    <sheet name="Arkusz1" sheetId="2" r:id="rId1"/>
  </sheets>
  <functionGroup name="Commands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0" i="2" l="1"/>
  <c r="C40" i="2"/>
  <c r="B41" i="2"/>
  <c r="C41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10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74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C68" i="2"/>
  <c r="C69" i="2"/>
  <c r="C70" i="2"/>
  <c r="C39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B70" i="2"/>
  <c r="B69" i="2"/>
  <c r="B68" i="2"/>
  <c r="C38" i="2"/>
  <c r="C7" i="2"/>
  <c r="B39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38" i="2"/>
  <c r="C10" i="2"/>
  <c r="C9" i="2"/>
  <c r="C8" i="2"/>
  <c r="C6" i="2"/>
  <c r="H40" i="2" a="1"/>
  <c r="F40" i="2" a="1"/>
  <c r="D40" i="2" a="1"/>
  <c r="H41" i="2" a="1"/>
  <c r="F41" i="2" a="1"/>
  <c r="D41" i="2" a="1"/>
  <c r="H129" i="2" a="1"/>
  <c r="H114" i="2" a="1"/>
  <c r="H122" i="2" a="1"/>
  <c r="H130" i="2" a="1"/>
  <c r="H140" i="2" a="1"/>
  <c r="H111" i="2" a="1"/>
  <c r="H121" i="2" a="1"/>
  <c r="H135" i="2" a="1"/>
  <c r="F113" i="2" a="1"/>
  <c r="F121" i="2" a="1"/>
  <c r="F129" i="2" a="1"/>
  <c r="F137" i="2" a="1"/>
  <c r="F114" i="2" a="1"/>
  <c r="F122" i="2" a="1"/>
  <c r="F130" i="2" a="1"/>
  <c r="F138" i="2" a="1"/>
  <c r="D111" i="2" a="1"/>
  <c r="D119" i="2" a="1"/>
  <c r="D127" i="2" a="1"/>
  <c r="D135" i="2" a="1"/>
  <c r="D130" i="2" a="1"/>
  <c r="D118" i="2" a="1"/>
  <c r="D126" i="2" a="1"/>
  <c r="D136" i="2" a="1"/>
  <c r="D110" i="2" a="1"/>
  <c r="F47" i="2" a="1"/>
  <c r="H85" i="2" a="1"/>
  <c r="H90" i="2" a="1"/>
  <c r="F83" i="2" a="1"/>
  <c r="H76" i="2" a="1"/>
  <c r="H91" i="2" a="1"/>
  <c r="F103" i="2" a="1"/>
  <c r="F106" i="2" a="1"/>
  <c r="D99" i="2" a="1"/>
  <c r="D92" i="2" a="1"/>
  <c r="H46" i="2" a="1"/>
  <c r="H51" i="2" a="1"/>
  <c r="F59" i="2" a="1"/>
  <c r="F52" i="2" a="1"/>
  <c r="D51" i="2" a="1"/>
  <c r="D58" i="2" a="1"/>
  <c r="H99" i="2" a="1"/>
  <c r="H102" i="2" a="1"/>
  <c r="F97" i="2" a="1"/>
  <c r="F100" i="2" a="1"/>
  <c r="D93" i="2" a="1"/>
  <c r="D84" i="2" a="1"/>
  <c r="H65" i="2" a="1"/>
  <c r="H45" i="2" a="1"/>
  <c r="F53" i="2" a="1"/>
  <c r="F46" i="2" a="1"/>
  <c r="D45" i="2" a="1"/>
  <c r="D42" i="2" a="1"/>
  <c r="F8" i="2" a="1"/>
  <c r="F10" i="2" a="1"/>
  <c r="H80" i="2" a="1"/>
  <c r="H74" i="2" a="1"/>
  <c r="F78" i="2" a="1"/>
  <c r="F105" i="2" a="1"/>
  <c r="D103" i="2" a="1"/>
  <c r="H42" i="2" a="1"/>
  <c r="H47" i="2" a="1"/>
  <c r="F63" i="2" a="1"/>
  <c r="D81" i="2" a="1"/>
  <c r="F60" i="2" a="1"/>
  <c r="D46" i="2" a="1"/>
  <c r="F7" i="2" a="1"/>
  <c r="D88" i="2" a="1"/>
  <c r="H9" i="2" a="1"/>
  <c r="H59" i="2" a="1"/>
  <c r="F9" i="2" a="1"/>
  <c r="D89" i="2" a="1"/>
  <c r="F42" i="2" a="1"/>
  <c r="F50" i="2" a="1"/>
  <c r="H8" i="2" a="1"/>
  <c r="H136" i="2" a="1"/>
  <c r="H139" i="2" a="1"/>
  <c r="H118" i="2" a="1"/>
  <c r="H126" i="2" a="1"/>
  <c r="H134" i="2" a="1"/>
  <c r="H125" i="2" a="1"/>
  <c r="H115" i="2" a="1"/>
  <c r="H127" i="2" a="1"/>
  <c r="H110" i="2" a="1"/>
  <c r="F117" i="2" a="1"/>
  <c r="F125" i="2" a="1"/>
  <c r="F133" i="2" a="1"/>
  <c r="F141" i="2" a="1"/>
  <c r="F118" i="2" a="1"/>
  <c r="F126" i="2" a="1"/>
  <c r="F134" i="2" a="1"/>
  <c r="F142" i="2" a="1"/>
  <c r="D115" i="2" a="1"/>
  <c r="D123" i="2" a="1"/>
  <c r="D131" i="2" a="1"/>
  <c r="D139" i="2" a="1"/>
  <c r="D114" i="2" a="1"/>
  <c r="D122" i="2" a="1"/>
  <c r="D132" i="2" a="1"/>
  <c r="D140" i="2" a="1"/>
  <c r="D76" i="2" a="1"/>
  <c r="F58" i="2" a="1"/>
  <c r="H103" i="2" a="1"/>
  <c r="H106" i="2" a="1"/>
  <c r="H87" i="2" a="1"/>
  <c r="H92" i="2" a="1"/>
  <c r="F85" i="2" a="1"/>
  <c r="F90" i="2" a="1"/>
  <c r="D83" i="2" a="1"/>
  <c r="D102" i="2" a="1"/>
  <c r="H56" i="2" a="1"/>
  <c r="H61" i="2" a="1"/>
  <c r="F43" i="2" a="1"/>
  <c r="F64" i="2" a="1"/>
  <c r="D69" i="2" a="1"/>
  <c r="D67" i="2" a="1"/>
  <c r="H81" i="2" a="1"/>
  <c r="H86" i="2" a="1"/>
  <c r="F79" i="2" a="1"/>
  <c r="F84" i="2" a="1"/>
  <c r="D77" i="2" a="1"/>
  <c r="D90" i="2" a="1"/>
  <c r="H67" i="2" a="1"/>
  <c r="H62" i="2" a="1"/>
  <c r="H38" i="2" a="1"/>
  <c r="F69" i="2" a="1"/>
  <c r="F70" i="2" a="1"/>
  <c r="D61" i="2" a="1"/>
  <c r="D62" i="2" a="1"/>
  <c r="H10" i="2" a="1"/>
  <c r="H93" i="2" a="1"/>
  <c r="H96" i="2" a="1"/>
  <c r="F89" i="2" a="1"/>
  <c r="F94" i="2" a="1"/>
  <c r="D87" i="2" a="1"/>
  <c r="D86" i="2" a="1"/>
  <c r="H50" i="2" a="1"/>
  <c r="F39" i="2" a="1"/>
  <c r="F38" i="2" a="1"/>
  <c r="H52" i="2" a="1"/>
  <c r="D49" i="2" a="1"/>
  <c r="L8" i="2" a="1"/>
  <c r="J10" i="2" a="1"/>
  <c r="F57" i="2" a="1"/>
  <c r="F74" i="2" a="1"/>
  <c r="D63" i="2" a="1"/>
  <c r="F91" i="2" a="1"/>
  <c r="H68" i="2" a="1"/>
  <c r="D55" i="2" a="1"/>
  <c r="D10" i="2" a="1"/>
  <c r="D97" i="2" a="1"/>
  <c r="D56" i="2" a="1"/>
  <c r="F80" i="2" a="1"/>
  <c r="D47" i="2" a="1"/>
  <c r="D54" i="2" a="1"/>
  <c r="H7" i="2" a="1"/>
  <c r="H119" i="2" a="1"/>
  <c r="H112" i="2" a="1"/>
  <c r="H120" i="2" a="1"/>
  <c r="H128" i="2" a="1"/>
  <c r="H138" i="2" a="1"/>
  <c r="H137" i="2" a="1"/>
  <c r="H117" i="2" a="1"/>
  <c r="H131" i="2" a="1"/>
  <c r="F111" i="2" a="1"/>
  <c r="F119" i="2" a="1"/>
  <c r="F127" i="2" a="1"/>
  <c r="F135" i="2" a="1"/>
  <c r="F112" i="2" a="1"/>
  <c r="F120" i="2" a="1"/>
  <c r="F128" i="2" a="1"/>
  <c r="F136" i="2" a="1"/>
  <c r="F110" i="2" a="1"/>
  <c r="D117" i="2" a="1"/>
  <c r="D125" i="2" a="1"/>
  <c r="D133" i="2" a="1"/>
  <c r="D141" i="2" a="1"/>
  <c r="D116" i="2" a="1"/>
  <c r="D124" i="2" a="1"/>
  <c r="D134" i="2" a="1"/>
  <c r="D142" i="2" a="1"/>
  <c r="H66" i="2" a="1"/>
  <c r="H77" i="2" a="1"/>
  <c r="H82" i="2" a="1"/>
  <c r="F75" i="2" a="1"/>
  <c r="H97" i="2" a="1"/>
  <c r="H100" i="2" a="1"/>
  <c r="F93" i="2" a="1"/>
  <c r="F98" i="2" a="1"/>
  <c r="D91" i="2" a="1"/>
  <c r="D80" i="2" a="1"/>
  <c r="H57" i="2" a="1"/>
  <c r="H43" i="2" a="1"/>
  <c r="F51" i="2" a="1"/>
  <c r="F44" i="2" a="1"/>
  <c r="D43" i="2" a="1"/>
  <c r="D48" i="2" a="1"/>
  <c r="H89" i="2" a="1"/>
  <c r="H94" i="2" a="1"/>
  <c r="F87" i="2" a="1"/>
  <c r="F92" i="2" a="1"/>
  <c r="D85" i="2" a="1"/>
  <c r="D106" i="2" a="1"/>
  <c r="H60" i="2" a="1"/>
  <c r="H69" i="2" a="1"/>
  <c r="F45" i="2" a="1"/>
  <c r="F68" i="2" a="1"/>
  <c r="D70" i="2" a="1"/>
  <c r="D50" i="2" a="1"/>
  <c r="L6" i="2" a="1"/>
  <c r="J8" i="2" a="1"/>
  <c r="H101" i="2" a="1"/>
  <c r="H104" i="2" a="1"/>
  <c r="F99" i="2" a="1"/>
  <c r="F102" i="2" a="1"/>
  <c r="D95" i="2" a="1"/>
  <c r="D100" i="2" a="1"/>
  <c r="H39" i="2" a="1"/>
  <c r="F55" i="2" a="1"/>
  <c r="F88" i="2" a="1"/>
  <c r="H70" i="2" a="1"/>
  <c r="D65" i="2" a="1"/>
  <c r="L9" i="2" a="1"/>
  <c r="F104" i="2" a="1"/>
  <c r="D64" i="2" a="1"/>
  <c r="D104" i="2" a="1"/>
  <c r="D66" i="2" a="1"/>
  <c r="F96" i="2" a="1"/>
  <c r="F49" i="2" a="1"/>
  <c r="D60" i="2" a="1"/>
  <c r="J9" i="2" a="1"/>
  <c r="H44" i="2" a="1"/>
  <c r="D9" i="2" a="1"/>
  <c r="D105" i="2" a="1"/>
  <c r="D44" i="2" a="1"/>
  <c r="H6" i="2" a="1"/>
  <c r="H54" i="2" a="1"/>
  <c r="H141" i="2" a="1"/>
  <c r="D138" i="2" a="1"/>
  <c r="D59" i="2" a="1"/>
  <c r="H88" i="2" a="1"/>
  <c r="D78" i="2" a="1"/>
  <c r="H133" i="2" a="1"/>
  <c r="H142" i="2" a="1"/>
  <c r="F115" i="2" a="1"/>
  <c r="F116" i="2" a="1"/>
  <c r="D113" i="2" a="1"/>
  <c r="D112" i="2" a="1"/>
  <c r="H75" i="2" a="1"/>
  <c r="H79" i="2" a="1"/>
  <c r="D75" i="2" a="1"/>
  <c r="H63" i="2" a="1"/>
  <c r="L10" i="2" a="1"/>
  <c r="F95" i="2" a="1"/>
  <c r="H53" i="2" a="1"/>
  <c r="D52" i="2" a="1"/>
  <c r="F81" i="2" a="1"/>
  <c r="H64" i="2" a="1"/>
  <c r="D68" i="2" a="1"/>
  <c r="J7" i="2" a="1"/>
  <c r="D39" i="2" a="1"/>
  <c r="L7" i="2" a="1"/>
  <c r="F86" i="2" a="1"/>
  <c r="D38" i="2" a="1"/>
  <c r="F62" i="2" a="1"/>
  <c r="F65" i="2" a="1"/>
  <c r="D137" i="2" a="1"/>
  <c r="F76" i="2" a="1"/>
  <c r="D98" i="2" a="1"/>
  <c r="D57" i="2" a="1"/>
  <c r="H116" i="2" a="1"/>
  <c r="H113" i="2" a="1"/>
  <c r="F123" i="2" a="1"/>
  <c r="F124" i="2" a="1"/>
  <c r="D121" i="2" a="1"/>
  <c r="D120" i="2" a="1"/>
  <c r="F56" i="2" a="1"/>
  <c r="H84" i="2" a="1"/>
  <c r="D82" i="2" a="1"/>
  <c r="F67" i="2" a="1"/>
  <c r="H78" i="2" a="1"/>
  <c r="D101" i="2" a="1"/>
  <c r="F61" i="2" a="1"/>
  <c r="D7" i="2" a="1"/>
  <c r="H55" i="2" a="1"/>
  <c r="J6" i="2" a="1"/>
  <c r="H98" i="2" a="1"/>
  <c r="H58" i="2" a="1"/>
  <c r="D53" i="2" a="1"/>
  <c r="H49" i="2" a="1"/>
  <c r="H124" i="2" a="1"/>
  <c r="H123" i="2" a="1"/>
  <c r="F131" i="2" a="1"/>
  <c r="F132" i="2" a="1"/>
  <c r="D129" i="2" a="1"/>
  <c r="D128" i="2" a="1"/>
  <c r="H95" i="2" a="1"/>
  <c r="F77" i="2" a="1"/>
  <c r="D74" i="2" a="1"/>
  <c r="F66" i="2" a="1"/>
  <c r="H105" i="2" a="1"/>
  <c r="D96" i="2" a="1"/>
  <c r="F54" i="2" a="1"/>
  <c r="H83" i="2" a="1"/>
  <c r="D79" i="2" a="1"/>
  <c r="F48" i="2" a="1"/>
  <c r="F6" i="2" a="1"/>
  <c r="D8" i="2" a="1"/>
  <c r="F101" i="2" a="1"/>
  <c r="D6" i="2" a="1"/>
  <c r="H132" i="2" a="1"/>
  <c r="F139" i="2" a="1"/>
  <c r="F140" i="2" a="1"/>
  <c r="F82" i="2" a="1"/>
  <c r="H48" i="2" a="1"/>
  <c r="D94" i="2" a="1"/>
  <c r="D40" i="2" l="1"/>
  <c r="F40" i="2"/>
  <c r="G40" i="2" s="1"/>
  <c r="H40" i="2"/>
  <c r="I40" i="2" s="1"/>
  <c r="E40" i="2"/>
  <c r="D41" i="2"/>
  <c r="E41" i="2" s="1"/>
  <c r="F41" i="2"/>
  <c r="G41" i="2" s="1"/>
  <c r="H41" i="2"/>
  <c r="I41" i="2" s="1"/>
  <c r="H141" i="2"/>
  <c r="I141" i="2" s="1"/>
  <c r="H135" i="2"/>
  <c r="I135" i="2" s="1"/>
  <c r="H131" i="2"/>
  <c r="I131" i="2" s="1"/>
  <c r="H127" i="2"/>
  <c r="I127" i="2" s="1"/>
  <c r="H123" i="2"/>
  <c r="I123" i="2" s="1"/>
  <c r="H121" i="2"/>
  <c r="I121" i="2" s="1"/>
  <c r="H117" i="2"/>
  <c r="I117" i="2" s="1"/>
  <c r="H115" i="2"/>
  <c r="I115" i="2" s="1"/>
  <c r="H113" i="2"/>
  <c r="I113" i="2" s="1"/>
  <c r="H111" i="2"/>
  <c r="I111" i="2" s="1"/>
  <c r="H137" i="2"/>
  <c r="I137" i="2" s="1"/>
  <c r="H125" i="2"/>
  <c r="I125" i="2" s="1"/>
  <c r="H142" i="2"/>
  <c r="I142" i="2" s="1"/>
  <c r="H140" i="2"/>
  <c r="I140" i="2" s="1"/>
  <c r="H138" i="2"/>
  <c r="I138" i="2" s="1"/>
  <c r="H134" i="2"/>
  <c r="I134" i="2" s="1"/>
  <c r="H132" i="2"/>
  <c r="I132" i="2" s="1"/>
  <c r="H130" i="2"/>
  <c r="I130" i="2" s="1"/>
  <c r="H128" i="2"/>
  <c r="I128" i="2" s="1"/>
  <c r="H126" i="2"/>
  <c r="I126" i="2" s="1"/>
  <c r="H124" i="2"/>
  <c r="I124" i="2" s="1"/>
  <c r="H122" i="2"/>
  <c r="I122" i="2" s="1"/>
  <c r="H120" i="2"/>
  <c r="I120" i="2" s="1"/>
  <c r="H118" i="2"/>
  <c r="I118" i="2" s="1"/>
  <c r="H116" i="2"/>
  <c r="I116" i="2" s="1"/>
  <c r="H114" i="2"/>
  <c r="I114" i="2" s="1"/>
  <c r="H112" i="2"/>
  <c r="I112" i="2" s="1"/>
  <c r="H139" i="2"/>
  <c r="I139" i="2" s="1"/>
  <c r="H133" i="2"/>
  <c r="I133" i="2" s="1"/>
  <c r="H129" i="2"/>
  <c r="I129" i="2" s="1"/>
  <c r="H119" i="2"/>
  <c r="I119" i="2" s="1"/>
  <c r="H136" i="2"/>
  <c r="I136" i="2" s="1"/>
  <c r="H110" i="2"/>
  <c r="I110" i="2" s="1"/>
  <c r="F142" i="2"/>
  <c r="G142" i="2" s="1"/>
  <c r="F140" i="2"/>
  <c r="G140" i="2" s="1"/>
  <c r="F138" i="2"/>
  <c r="G138" i="2" s="1"/>
  <c r="F136" i="2"/>
  <c r="G136" i="2" s="1"/>
  <c r="F134" i="2"/>
  <c r="G134" i="2" s="1"/>
  <c r="F132" i="2"/>
  <c r="G132" i="2" s="1"/>
  <c r="F130" i="2"/>
  <c r="G130" i="2" s="1"/>
  <c r="F128" i="2"/>
  <c r="G128" i="2" s="1"/>
  <c r="F126" i="2"/>
  <c r="G126" i="2" s="1"/>
  <c r="F124" i="2"/>
  <c r="G124" i="2" s="1"/>
  <c r="F122" i="2"/>
  <c r="G122" i="2" s="1"/>
  <c r="F120" i="2"/>
  <c r="G120" i="2" s="1"/>
  <c r="F118" i="2"/>
  <c r="G118" i="2" s="1"/>
  <c r="F116" i="2"/>
  <c r="G116" i="2" s="1"/>
  <c r="F114" i="2"/>
  <c r="G114" i="2" s="1"/>
  <c r="F112" i="2"/>
  <c r="G112" i="2" s="1"/>
  <c r="F141" i="2"/>
  <c r="G141" i="2" s="1"/>
  <c r="F139" i="2"/>
  <c r="G139" i="2" s="1"/>
  <c r="F137" i="2"/>
  <c r="G137" i="2" s="1"/>
  <c r="F135" i="2"/>
  <c r="G135" i="2" s="1"/>
  <c r="F133" i="2"/>
  <c r="G133" i="2" s="1"/>
  <c r="F131" i="2"/>
  <c r="G131" i="2" s="1"/>
  <c r="F129" i="2"/>
  <c r="G129" i="2" s="1"/>
  <c r="F127" i="2"/>
  <c r="G127" i="2" s="1"/>
  <c r="F125" i="2"/>
  <c r="G125" i="2" s="1"/>
  <c r="F123" i="2"/>
  <c r="G123" i="2" s="1"/>
  <c r="F121" i="2"/>
  <c r="G121" i="2" s="1"/>
  <c r="F119" i="2"/>
  <c r="G119" i="2" s="1"/>
  <c r="F117" i="2"/>
  <c r="G117" i="2" s="1"/>
  <c r="F115" i="2"/>
  <c r="G115" i="2" s="1"/>
  <c r="F113" i="2"/>
  <c r="G113" i="2" s="1"/>
  <c r="F111" i="2"/>
  <c r="G111" i="2" s="1"/>
  <c r="F110" i="2"/>
  <c r="G110" i="2" s="1"/>
  <c r="D142" i="2"/>
  <c r="E142" i="2" s="1"/>
  <c r="D140" i="2"/>
  <c r="E140" i="2" s="1"/>
  <c r="D138" i="2"/>
  <c r="E138" i="2" s="1"/>
  <c r="D136" i="2"/>
  <c r="E136" i="2" s="1"/>
  <c r="D134" i="2"/>
  <c r="E134" i="2" s="1"/>
  <c r="D132" i="2"/>
  <c r="E132" i="2" s="1"/>
  <c r="D128" i="2"/>
  <c r="E128" i="2" s="1"/>
  <c r="D126" i="2"/>
  <c r="E126" i="2" s="1"/>
  <c r="D124" i="2"/>
  <c r="E124" i="2" s="1"/>
  <c r="D122" i="2"/>
  <c r="E122" i="2" s="1"/>
  <c r="D120" i="2"/>
  <c r="E120" i="2" s="1"/>
  <c r="D118" i="2"/>
  <c r="E118" i="2" s="1"/>
  <c r="D116" i="2"/>
  <c r="E116" i="2" s="1"/>
  <c r="D114" i="2"/>
  <c r="E114" i="2" s="1"/>
  <c r="D112" i="2"/>
  <c r="E112" i="2" s="1"/>
  <c r="D130" i="2"/>
  <c r="E130" i="2" s="1"/>
  <c r="D141" i="2"/>
  <c r="E141" i="2" s="1"/>
  <c r="D139" i="2"/>
  <c r="E139" i="2" s="1"/>
  <c r="D137" i="2"/>
  <c r="E137" i="2" s="1"/>
  <c r="D135" i="2"/>
  <c r="E135" i="2" s="1"/>
  <c r="D133" i="2"/>
  <c r="E133" i="2" s="1"/>
  <c r="D131" i="2"/>
  <c r="E131" i="2" s="1"/>
  <c r="D129" i="2"/>
  <c r="E129" i="2" s="1"/>
  <c r="D127" i="2"/>
  <c r="E127" i="2" s="1"/>
  <c r="D125" i="2"/>
  <c r="E125" i="2" s="1"/>
  <c r="D123" i="2"/>
  <c r="E123" i="2" s="1"/>
  <c r="D121" i="2"/>
  <c r="E121" i="2" s="1"/>
  <c r="D119" i="2"/>
  <c r="E119" i="2" s="1"/>
  <c r="D117" i="2"/>
  <c r="E117" i="2" s="1"/>
  <c r="D115" i="2"/>
  <c r="E115" i="2" s="1"/>
  <c r="D113" i="2"/>
  <c r="E113" i="2" s="1"/>
  <c r="D111" i="2"/>
  <c r="E111" i="2" s="1"/>
  <c r="D110" i="2"/>
  <c r="E110" i="2" s="1"/>
  <c r="H105" i="2"/>
  <c r="I105" i="2" s="1"/>
  <c r="H91" i="2"/>
  <c r="I91" i="2" s="1"/>
  <c r="H106" i="2"/>
  <c r="I106" i="2" s="1"/>
  <c r="H104" i="2"/>
  <c r="I104" i="2" s="1"/>
  <c r="H102" i="2"/>
  <c r="I102" i="2" s="1"/>
  <c r="H100" i="2"/>
  <c r="I100" i="2" s="1"/>
  <c r="H98" i="2"/>
  <c r="I98" i="2" s="1"/>
  <c r="H96" i="2"/>
  <c r="I96" i="2" s="1"/>
  <c r="H94" i="2"/>
  <c r="I94" i="2" s="1"/>
  <c r="H92" i="2"/>
  <c r="I92" i="2" s="1"/>
  <c r="H90" i="2"/>
  <c r="I90" i="2" s="1"/>
  <c r="H88" i="2"/>
  <c r="I88" i="2" s="1"/>
  <c r="H86" i="2"/>
  <c r="I86" i="2" s="1"/>
  <c r="H84" i="2"/>
  <c r="I84" i="2" s="1"/>
  <c r="H82" i="2"/>
  <c r="I82" i="2" s="1"/>
  <c r="H80" i="2"/>
  <c r="I80" i="2" s="1"/>
  <c r="H78" i="2"/>
  <c r="I78" i="2" s="1"/>
  <c r="H76" i="2"/>
  <c r="I76" i="2" s="1"/>
  <c r="H103" i="2"/>
  <c r="I103" i="2" s="1"/>
  <c r="H101" i="2"/>
  <c r="I101" i="2" s="1"/>
  <c r="H99" i="2"/>
  <c r="I99" i="2" s="1"/>
  <c r="H97" i="2"/>
  <c r="I97" i="2" s="1"/>
  <c r="H95" i="2"/>
  <c r="I95" i="2" s="1"/>
  <c r="H93" i="2"/>
  <c r="I93" i="2" s="1"/>
  <c r="H89" i="2"/>
  <c r="I89" i="2" s="1"/>
  <c r="H87" i="2"/>
  <c r="I87" i="2" s="1"/>
  <c r="H85" i="2"/>
  <c r="I85" i="2" s="1"/>
  <c r="H83" i="2"/>
  <c r="I83" i="2" s="1"/>
  <c r="H81" i="2"/>
  <c r="I81" i="2" s="1"/>
  <c r="H79" i="2"/>
  <c r="I79" i="2" s="1"/>
  <c r="H77" i="2"/>
  <c r="I77" i="2" s="1"/>
  <c r="H75" i="2"/>
  <c r="I75" i="2" s="1"/>
  <c r="H74" i="2"/>
  <c r="I74" i="2" s="1"/>
  <c r="F105" i="2"/>
  <c r="G105" i="2" s="1"/>
  <c r="F95" i="2"/>
  <c r="G95" i="2" s="1"/>
  <c r="F106" i="2"/>
  <c r="G106" i="2" s="1"/>
  <c r="F104" i="2"/>
  <c r="G104" i="2" s="1"/>
  <c r="F102" i="2"/>
  <c r="G102" i="2" s="1"/>
  <c r="F100" i="2"/>
  <c r="G100" i="2" s="1"/>
  <c r="F98" i="2"/>
  <c r="G98" i="2" s="1"/>
  <c r="F96" i="2"/>
  <c r="G96" i="2" s="1"/>
  <c r="F94" i="2"/>
  <c r="G94" i="2" s="1"/>
  <c r="F92" i="2"/>
  <c r="G92" i="2" s="1"/>
  <c r="F90" i="2"/>
  <c r="G90" i="2" s="1"/>
  <c r="F88" i="2"/>
  <c r="G88" i="2" s="1"/>
  <c r="F86" i="2"/>
  <c r="G86" i="2" s="1"/>
  <c r="F84" i="2"/>
  <c r="G84" i="2" s="1"/>
  <c r="F82" i="2"/>
  <c r="G82" i="2" s="1"/>
  <c r="F80" i="2"/>
  <c r="G80" i="2" s="1"/>
  <c r="F78" i="2"/>
  <c r="G78" i="2" s="1"/>
  <c r="F76" i="2"/>
  <c r="G76" i="2" s="1"/>
  <c r="F103" i="2"/>
  <c r="G103" i="2" s="1"/>
  <c r="F101" i="2"/>
  <c r="G101" i="2" s="1"/>
  <c r="F99" i="2"/>
  <c r="G99" i="2" s="1"/>
  <c r="F97" i="2"/>
  <c r="G97" i="2" s="1"/>
  <c r="F93" i="2"/>
  <c r="G93" i="2" s="1"/>
  <c r="F91" i="2"/>
  <c r="G91" i="2" s="1"/>
  <c r="F89" i="2"/>
  <c r="G89" i="2" s="1"/>
  <c r="F87" i="2"/>
  <c r="G87" i="2" s="1"/>
  <c r="F85" i="2"/>
  <c r="G85" i="2" s="1"/>
  <c r="F83" i="2"/>
  <c r="G83" i="2" s="1"/>
  <c r="F81" i="2"/>
  <c r="G81" i="2" s="1"/>
  <c r="F79" i="2"/>
  <c r="G79" i="2" s="1"/>
  <c r="F77" i="2"/>
  <c r="G77" i="2" s="1"/>
  <c r="F75" i="2"/>
  <c r="G75" i="2" s="1"/>
  <c r="F74" i="2"/>
  <c r="G74" i="2" s="1"/>
  <c r="D104" i="2"/>
  <c r="E104" i="2" s="1"/>
  <c r="D100" i="2"/>
  <c r="E100" i="2" s="1"/>
  <c r="D96" i="2"/>
  <c r="E96" i="2" s="1"/>
  <c r="D92" i="2"/>
  <c r="E92" i="2" s="1"/>
  <c r="D88" i="2"/>
  <c r="E88" i="2" s="1"/>
  <c r="D86" i="2"/>
  <c r="E86" i="2" s="1"/>
  <c r="D84" i="2"/>
  <c r="E84" i="2" s="1"/>
  <c r="D80" i="2"/>
  <c r="E80" i="2" s="1"/>
  <c r="D78" i="2"/>
  <c r="E78" i="2" s="1"/>
  <c r="D76" i="2"/>
  <c r="E76" i="2" s="1"/>
  <c r="D106" i="2"/>
  <c r="E106" i="2" s="1"/>
  <c r="D102" i="2"/>
  <c r="E102" i="2" s="1"/>
  <c r="D98" i="2"/>
  <c r="E98" i="2" s="1"/>
  <c r="D94" i="2"/>
  <c r="E94" i="2" s="1"/>
  <c r="D90" i="2"/>
  <c r="E90" i="2" s="1"/>
  <c r="D82" i="2"/>
  <c r="E82" i="2" s="1"/>
  <c r="D105" i="2"/>
  <c r="E105" i="2" s="1"/>
  <c r="D103" i="2"/>
  <c r="E103" i="2" s="1"/>
  <c r="D101" i="2"/>
  <c r="E101" i="2" s="1"/>
  <c r="D99" i="2"/>
  <c r="E99" i="2" s="1"/>
  <c r="D97" i="2"/>
  <c r="E97" i="2" s="1"/>
  <c r="D95" i="2"/>
  <c r="E95" i="2" s="1"/>
  <c r="D93" i="2"/>
  <c r="E93" i="2" s="1"/>
  <c r="D91" i="2"/>
  <c r="E91" i="2" s="1"/>
  <c r="D89" i="2"/>
  <c r="E89" i="2" s="1"/>
  <c r="D87" i="2"/>
  <c r="E87" i="2" s="1"/>
  <c r="D85" i="2"/>
  <c r="E85" i="2" s="1"/>
  <c r="D83" i="2"/>
  <c r="E83" i="2" s="1"/>
  <c r="D81" i="2"/>
  <c r="E81" i="2" s="1"/>
  <c r="D79" i="2"/>
  <c r="E79" i="2" s="1"/>
  <c r="D77" i="2"/>
  <c r="E77" i="2" s="1"/>
  <c r="D75" i="2"/>
  <c r="E75" i="2" s="1"/>
  <c r="D74" i="2"/>
  <c r="E74" i="2" s="1"/>
  <c r="H63" i="2"/>
  <c r="I63" i="2" s="1"/>
  <c r="H59" i="2"/>
  <c r="I59" i="2" s="1"/>
  <c r="H55" i="2"/>
  <c r="I55" i="2" s="1"/>
  <c r="H53" i="2"/>
  <c r="I53" i="2" s="1"/>
  <c r="H51" i="2"/>
  <c r="I51" i="2" s="1"/>
  <c r="H49" i="2"/>
  <c r="I49" i="2" s="1"/>
  <c r="H47" i="2"/>
  <c r="I47" i="2" s="1"/>
  <c r="H45" i="2"/>
  <c r="I45" i="2" s="1"/>
  <c r="H43" i="2"/>
  <c r="I43" i="2" s="1"/>
  <c r="H39" i="2"/>
  <c r="I39" i="2" s="1"/>
  <c r="H69" i="2"/>
  <c r="I69" i="2" s="1"/>
  <c r="H61" i="2"/>
  <c r="I61" i="2" s="1"/>
  <c r="H70" i="2"/>
  <c r="I70" i="2" s="1"/>
  <c r="H66" i="2"/>
  <c r="I66" i="2" s="1"/>
  <c r="H62" i="2"/>
  <c r="I62" i="2" s="1"/>
  <c r="H58" i="2"/>
  <c r="I58" i="2" s="1"/>
  <c r="H54" i="2"/>
  <c r="I54" i="2" s="1"/>
  <c r="H50" i="2"/>
  <c r="I50" i="2" s="1"/>
  <c r="H48" i="2"/>
  <c r="I48" i="2" s="1"/>
  <c r="H46" i="2"/>
  <c r="I46" i="2" s="1"/>
  <c r="H44" i="2"/>
  <c r="I44" i="2" s="1"/>
  <c r="H65" i="2"/>
  <c r="I65" i="2" s="1"/>
  <c r="H57" i="2"/>
  <c r="I57" i="2" s="1"/>
  <c r="H68" i="2"/>
  <c r="I68" i="2" s="1"/>
  <c r="H64" i="2"/>
  <c r="I64" i="2" s="1"/>
  <c r="H60" i="2"/>
  <c r="I60" i="2" s="1"/>
  <c r="H56" i="2"/>
  <c r="I56" i="2" s="1"/>
  <c r="H52" i="2"/>
  <c r="I52" i="2" s="1"/>
  <c r="H42" i="2"/>
  <c r="I42" i="2" s="1"/>
  <c r="H67" i="2"/>
  <c r="I67" i="2" s="1"/>
  <c r="H38" i="2"/>
  <c r="I38" i="2" s="1"/>
  <c r="F70" i="2"/>
  <c r="G70" i="2" s="1"/>
  <c r="F66" i="2"/>
  <c r="G66" i="2" s="1"/>
  <c r="F62" i="2"/>
  <c r="G62" i="2" s="1"/>
  <c r="F58" i="2"/>
  <c r="G58" i="2" s="1"/>
  <c r="F54" i="2"/>
  <c r="G54" i="2" s="1"/>
  <c r="F52" i="2"/>
  <c r="G52" i="2" s="1"/>
  <c r="F50" i="2"/>
  <c r="G50" i="2" s="1"/>
  <c r="F48" i="2"/>
  <c r="G48" i="2" s="1"/>
  <c r="F46" i="2"/>
  <c r="G46" i="2" s="1"/>
  <c r="F44" i="2"/>
  <c r="G44" i="2" s="1"/>
  <c r="F42" i="2"/>
  <c r="G42" i="2" s="1"/>
  <c r="F68" i="2"/>
  <c r="G68" i="2" s="1"/>
  <c r="F64" i="2"/>
  <c r="G64" i="2" s="1"/>
  <c r="F60" i="2"/>
  <c r="G60" i="2" s="1"/>
  <c r="F56" i="2"/>
  <c r="G56" i="2" s="1"/>
  <c r="F69" i="2"/>
  <c r="G69" i="2" s="1"/>
  <c r="F67" i="2"/>
  <c r="G67" i="2" s="1"/>
  <c r="F65" i="2"/>
  <c r="G65" i="2" s="1"/>
  <c r="F63" i="2"/>
  <c r="G63" i="2" s="1"/>
  <c r="F61" i="2"/>
  <c r="G61" i="2" s="1"/>
  <c r="F59" i="2"/>
  <c r="G59" i="2" s="1"/>
  <c r="F57" i="2"/>
  <c r="G57" i="2" s="1"/>
  <c r="F55" i="2"/>
  <c r="G55" i="2" s="1"/>
  <c r="F53" i="2"/>
  <c r="G53" i="2" s="1"/>
  <c r="F51" i="2"/>
  <c r="G51" i="2" s="1"/>
  <c r="F49" i="2"/>
  <c r="G49" i="2" s="1"/>
  <c r="F47" i="2"/>
  <c r="G47" i="2" s="1"/>
  <c r="F45" i="2"/>
  <c r="G45" i="2" s="1"/>
  <c r="F43" i="2"/>
  <c r="G43" i="2" s="1"/>
  <c r="F39" i="2"/>
  <c r="G39" i="2" s="1"/>
  <c r="F38" i="2"/>
  <c r="G38" i="2" s="1"/>
  <c r="D70" i="2"/>
  <c r="E70" i="2" s="1"/>
  <c r="D69" i="2"/>
  <c r="E69" i="2" s="1"/>
  <c r="D68" i="2"/>
  <c r="E68" i="2" s="1"/>
  <c r="D66" i="2"/>
  <c r="E66" i="2" s="1"/>
  <c r="D62" i="2"/>
  <c r="E62" i="2" s="1"/>
  <c r="D58" i="2"/>
  <c r="E58" i="2" s="1"/>
  <c r="D56" i="2"/>
  <c r="E56" i="2" s="1"/>
  <c r="D54" i="2"/>
  <c r="E54" i="2" s="1"/>
  <c r="D52" i="2"/>
  <c r="E52" i="2" s="1"/>
  <c r="D48" i="2"/>
  <c r="E48" i="2" s="1"/>
  <c r="D46" i="2"/>
  <c r="E46" i="2" s="1"/>
  <c r="D44" i="2"/>
  <c r="E44" i="2" s="1"/>
  <c r="D42" i="2"/>
  <c r="E42" i="2" s="1"/>
  <c r="D64" i="2"/>
  <c r="E64" i="2" s="1"/>
  <c r="D60" i="2"/>
  <c r="E60" i="2" s="1"/>
  <c r="D50" i="2"/>
  <c r="E50" i="2" s="1"/>
  <c r="D67" i="2"/>
  <c r="E67" i="2" s="1"/>
  <c r="D65" i="2"/>
  <c r="E65" i="2" s="1"/>
  <c r="D63" i="2"/>
  <c r="E63" i="2" s="1"/>
  <c r="D61" i="2"/>
  <c r="E61" i="2" s="1"/>
  <c r="D59" i="2"/>
  <c r="E59" i="2" s="1"/>
  <c r="D57" i="2"/>
  <c r="E57" i="2" s="1"/>
  <c r="D55" i="2"/>
  <c r="E55" i="2" s="1"/>
  <c r="D53" i="2"/>
  <c r="E53" i="2" s="1"/>
  <c r="D51" i="2"/>
  <c r="E51" i="2" s="1"/>
  <c r="D49" i="2"/>
  <c r="E49" i="2" s="1"/>
  <c r="D47" i="2"/>
  <c r="E47" i="2" s="1"/>
  <c r="D45" i="2"/>
  <c r="E45" i="2" s="1"/>
  <c r="D43" i="2"/>
  <c r="E43" i="2" s="1"/>
  <c r="D39" i="2"/>
  <c r="E39" i="2" s="1"/>
  <c r="D38" i="2"/>
  <c r="E38" i="2" s="1"/>
  <c r="F10" i="2"/>
  <c r="G10" i="2" s="1"/>
  <c r="F9" i="2"/>
  <c r="G9" i="2" s="1"/>
  <c r="F8" i="2"/>
  <c r="G8" i="2" s="1"/>
  <c r="F7" i="2"/>
  <c r="G7" i="2" s="1"/>
  <c r="F6" i="2"/>
  <c r="G6" i="2" s="1"/>
  <c r="J10" i="2"/>
  <c r="K10" i="2" s="1"/>
  <c r="L10" i="2"/>
  <c r="M10" i="2" s="1"/>
  <c r="L9" i="2"/>
  <c r="M9" i="2" s="1"/>
  <c r="L8" i="2"/>
  <c r="M8" i="2" s="1"/>
  <c r="L7" i="2"/>
  <c r="M7" i="2" s="1"/>
  <c r="L6" i="2"/>
  <c r="M6" i="2" s="1"/>
  <c r="J9" i="2"/>
  <c r="K9" i="2" s="1"/>
  <c r="J8" i="2"/>
  <c r="K8" i="2" s="1"/>
  <c r="J7" i="2"/>
  <c r="K7" i="2" s="1"/>
  <c r="J6" i="2"/>
  <c r="K6" i="2" s="1"/>
  <c r="H10" i="2"/>
  <c r="I10" i="2" s="1"/>
  <c r="H9" i="2"/>
  <c r="I9" i="2" s="1"/>
  <c r="H8" i="2"/>
  <c r="I8" i="2" s="1"/>
  <c r="H7" i="2"/>
  <c r="I7" i="2" s="1"/>
  <c r="H6" i="2"/>
  <c r="I6" i="2" s="1"/>
  <c r="D10" i="2"/>
  <c r="E10" i="2" s="1"/>
  <c r="D9" i="2"/>
  <c r="E9" i="2" s="1"/>
  <c r="D6" i="2"/>
  <c r="E6" i="2" s="1"/>
  <c r="D8" i="2"/>
  <c r="E8" i="2" s="1"/>
  <c r="D7" i="2"/>
  <c r="E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<sst xmlns="http://schemas.openxmlformats.org/spreadsheetml/2006/main" count="53" uniqueCount="28">
  <si>
    <t>a</t>
  </si>
  <si>
    <t>b</t>
  </si>
  <si>
    <t>N</t>
  </si>
  <si>
    <t>NAZWA</t>
  </si>
  <si>
    <t xml:space="preserve">wartość całki </t>
  </si>
  <si>
    <t>wzór trapezów</t>
  </si>
  <si>
    <t>wzór Simpsona</t>
  </si>
  <si>
    <t>reguła 3/8</t>
  </si>
  <si>
    <t xml:space="preserve">f. liniowa </t>
  </si>
  <si>
    <t>wielomian 2 st</t>
  </si>
  <si>
    <t>wielomian 3 st</t>
  </si>
  <si>
    <t>wielomian 4 st</t>
  </si>
  <si>
    <t>wielomian 5 st</t>
  </si>
  <si>
    <t>wzór Boole'a</t>
  </si>
  <si>
    <t>błąd bezwzględny</t>
  </si>
  <si>
    <t>kwadratura 7-punktowa</t>
  </si>
  <si>
    <t>błąd bezwzględny2</t>
  </si>
  <si>
    <t>błąd bezwzględny3</t>
  </si>
  <si>
    <t>błąd bezwzględny4</t>
  </si>
  <si>
    <t>błąd bezwzględny5</t>
  </si>
  <si>
    <t>krok h</t>
  </si>
  <si>
    <t>funkcja</t>
  </si>
  <si>
    <t>2 x^2 + 5x + 3</t>
  </si>
  <si>
    <t>log(x)</t>
  </si>
  <si>
    <t>sin(x)</t>
  </si>
  <si>
    <t>błąd bezwzględny simpson</t>
  </si>
  <si>
    <t>błąd bezwzględny trapez</t>
  </si>
  <si>
    <t>błąd bezwzględny 3/8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</si>
</sst>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/>
      <bottom style="thin">
        <color theme="8" tint="0.39997558519241921"/>
      </bottom>
      <diagonal/>
    </border>
    <border>
      <left/>
      <right style="thin">
        <color theme="8" tint="0.39997558519241921"/>
      </right>
      <top/>
      <bottom style="thin">
        <color theme="8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2" fontId="0" fillId="0" borderId="0" xfId="0" applyNumberFormat="1"/>
    <xf numFmtId="0" fontId="2" fillId="2" borderId="1" xfId="0" applyFont="1" applyFill="1" applyBorder="1"/>
    <xf numFmtId="0" fontId="0" fillId="3" borderId="1" xfId="0" applyFill="1" applyBorder="1"/>
    <xf numFmtId="0" fontId="0" fillId="0" borderId="1" xfId="0" applyBorder="1"/>
    <xf numFmtId="0" fontId="2" fillId="0" borderId="1" xfId="0" applyFont="1" applyBorder="1"/>
    <xf numFmtId="0" fontId="2" fillId="0" borderId="2" xfId="0" applyFont="1" applyBorder="1"/>
    <xf numFmtId="0" fontId="3" fillId="4" borderId="0" xfId="0" applyFont="1" applyFill="1"/>
    <xf numFmtId="0" fontId="3" fillId="4" borderId="3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</cellXfs>
  <cellStyles count="1">
    <cellStyle name="Normalny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border outline="0">
        <left style="thin">
          <color theme="8" tint="0.39997558519241921"/>
        </left>
        <top style="thin">
          <color theme="8" tint="0.39997558519241921"/>
        </top>
      </border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8"/>
          <bgColor theme="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border outline="0">
        <left style="thin">
          <color theme="8" tint="0.39997558519241921"/>
        </left>
        <top style="thin">
          <color theme="8" tint="0.39997558519241921"/>
        </top>
      </border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8"/>
          <bgColor theme="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8"/>
          <bgColor theme="8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wzór trapezów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Arkusz1!$E$6:$E$10</c:f>
              <c:numCache>
                <c:formatCode>General</c:formatCode>
                <c:ptCount val="5"/>
                <c:pt idx="0">
                  <c:v>0</c:v>
                </c:pt>
                <c:pt idx="1">
                  <c:v>0.85333333333335304</c:v>
                </c:pt>
                <c:pt idx="2">
                  <c:v>4.6933333333333849</c:v>
                </c:pt>
                <c:pt idx="3">
                  <c:v>31.092053333333524</c:v>
                </c:pt>
                <c:pt idx="4">
                  <c:v>196.67285333333393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92-5249-B0B9-E3EEB9134CF1}"/>
            </c:ext>
          </c:extLst>
        </c:ser>
        <c:ser>
          <c:idx val="1"/>
          <c:order val="1"/>
          <c:tx>
            <c:v>wzór Simpsona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Arkusz1!$G$6:$G$10</c:f>
              <c:numCache>
                <c:formatCode>General</c:formatCode>
                <c:ptCount val="5"/>
                <c:pt idx="0">
                  <c:v>1.4933333333333341</c:v>
                </c:pt>
                <c:pt idx="1">
                  <c:v>18.133333333333326</c:v>
                </c:pt>
                <c:pt idx="2">
                  <c:v>43.500800000000027</c:v>
                </c:pt>
                <c:pt idx="3">
                  <c:v>157.29834666666648</c:v>
                </c:pt>
                <c:pt idx="4">
                  <c:v>662.51118933333282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92-5249-B0B9-E3EEB9134CF1}"/>
            </c:ext>
          </c:extLst>
        </c:ser>
        <c:ser>
          <c:idx val="2"/>
          <c:order val="2"/>
          <c:tx>
            <c:v>reguła 3/8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Arkusz1!$I$6:$I$10</c:f>
              <c:numCache>
                <c:formatCode>General</c:formatCode>
                <c:ptCount val="5"/>
                <c:pt idx="0">
                  <c:v>0.51999999999999957</c:v>
                </c:pt>
                <c:pt idx="1">
                  <c:v>5.8426666666666165</c:v>
                </c:pt>
                <c:pt idx="2">
                  <c:v>12.713866666666604</c:v>
                </c:pt>
                <c:pt idx="3">
                  <c:v>38.905386666666573</c:v>
                </c:pt>
                <c:pt idx="4">
                  <c:v>132.33325866666519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92-5249-B0B9-E3EEB9134CF1}"/>
            </c:ext>
          </c:extLst>
        </c:ser>
        <c:ser>
          <c:idx val="3"/>
          <c:order val="3"/>
          <c:tx>
            <c:strRef>
              <c:f>Arkusz1!$J$5</c:f>
              <c:strCache>
                <c:ptCount val="1"/>
                <c:pt idx="0">
                  <c:v>wzór Boole'a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Arkusz1!$K$6:$K$10</c:f>
              <c:numCache>
                <c:formatCode>General</c:formatCode>
                <c:ptCount val="5"/>
                <c:pt idx="0">
                  <c:v>3.3706666666666667</c:v>
                </c:pt>
                <c:pt idx="1">
                  <c:v>31.695644444444426</c:v>
                </c:pt>
                <c:pt idx="2">
                  <c:v>57.905351111111088</c:v>
                </c:pt>
                <c:pt idx="3">
                  <c:v>141.41747199999998</c:v>
                </c:pt>
                <c:pt idx="4">
                  <c:v>408.22205439999971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97-0C4D-8A00-F586600DBB0A}"/>
            </c:ext>
          </c:extLst>
        </c:ser>
        <c:ser>
          <c:idx val="4"/>
          <c:order val="4"/>
          <c:tx>
            <c:v>kwadratura 7 punktowa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Arkusz1!$M$6:$M$10</c:f>
              <c:numCache>
                <c:formatCode>General</c:formatCode>
                <c:ptCount val="5"/>
                <c:pt idx="0">
                  <c:v>1.7763568394002505E-15</c:v>
                </c:pt>
                <c:pt idx="1">
                  <c:v>2.8421709430404007E-14</c:v>
                </c:pt>
                <c:pt idx="2">
                  <c:v>5.6843418860808015E-14</c:v>
                </c:pt>
                <c:pt idx="3">
                  <c:v>2.2737367544323206E-13</c:v>
                </c:pt>
                <c:pt idx="4">
                  <c:v>9.0949470177292824E-13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97-0C4D-8A00-F586600DB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5007408"/>
        <c:axId val="1460420192"/>
      </c:lineChart>
      <c:catAx>
        <c:axId val="1455007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60420192"/>
        <c:crosses val="autoZero"/>
        <c:auto val="1"/>
        <c:lblAlgn val="ctr"/>
        <c:lblOffset val="100"/>
        <c:noMultiLvlLbl val="0"/>
      </c:catAx>
      <c:valAx>
        <c:axId val="14604201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5500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Wartości</a:t>
            </a:r>
            <a:r>
              <a:rPr lang="pl-PL" baseline="0"/>
              <a:t> bezwzględne błędów od h kroku całkowania dla funkcji 2x^2 + 5x + 3 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błąd bezwzględny trapez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Arkusz1!$B$38:$B$70</c:f>
              <c:numCache>
                <c:formatCode>General</c:formatCode>
                <c:ptCount val="33"/>
                <c:pt idx="0">
                  <c:v>0.13333333333333333</c:v>
                </c:pt>
                <c:pt idx="1">
                  <c:v>6.6666666666666666E-2</c:v>
                </c:pt>
                <c:pt idx="2">
                  <c:v>4.4444444444444446E-2</c:v>
                </c:pt>
                <c:pt idx="3">
                  <c:v>3.3333333333333333E-2</c:v>
                </c:pt>
                <c:pt idx="4">
                  <c:v>2.6666666666666668E-2</c:v>
                </c:pt>
                <c:pt idx="5">
                  <c:v>2.2222222222222223E-2</c:v>
                </c:pt>
                <c:pt idx="6">
                  <c:v>1.9047619047619049E-2</c:v>
                </c:pt>
                <c:pt idx="7">
                  <c:v>1.6666666666666666E-2</c:v>
                </c:pt>
                <c:pt idx="8">
                  <c:v>1.4814814814814815E-2</c:v>
                </c:pt>
                <c:pt idx="9">
                  <c:v>1.3333333333333334E-2</c:v>
                </c:pt>
                <c:pt idx="10">
                  <c:v>1.2121212121212121E-2</c:v>
                </c:pt>
                <c:pt idx="11">
                  <c:v>1.1111111111111112E-2</c:v>
                </c:pt>
                <c:pt idx="12">
                  <c:v>1.0256410256410256E-2</c:v>
                </c:pt>
                <c:pt idx="13">
                  <c:v>9.5238095238095247E-3</c:v>
                </c:pt>
                <c:pt idx="14">
                  <c:v>8.8888888888888889E-3</c:v>
                </c:pt>
                <c:pt idx="15">
                  <c:v>8.3333333333333332E-3</c:v>
                </c:pt>
                <c:pt idx="16">
                  <c:v>7.8431372549019607E-3</c:v>
                </c:pt>
                <c:pt idx="17">
                  <c:v>7.4074074074074077E-3</c:v>
                </c:pt>
                <c:pt idx="18">
                  <c:v>7.0175438596491229E-3</c:v>
                </c:pt>
                <c:pt idx="19">
                  <c:v>6.6666666666666671E-3</c:v>
                </c:pt>
                <c:pt idx="20">
                  <c:v>6.3492063492063492E-3</c:v>
                </c:pt>
                <c:pt idx="21">
                  <c:v>6.0606060606060606E-3</c:v>
                </c:pt>
                <c:pt idx="22">
                  <c:v>5.7971014492753624E-3</c:v>
                </c:pt>
                <c:pt idx="23">
                  <c:v>5.5555555555555558E-3</c:v>
                </c:pt>
                <c:pt idx="24">
                  <c:v>5.3333333333333332E-3</c:v>
                </c:pt>
                <c:pt idx="25">
                  <c:v>5.1282051282051282E-3</c:v>
                </c:pt>
                <c:pt idx="26">
                  <c:v>4.9382716049382715E-3</c:v>
                </c:pt>
                <c:pt idx="27">
                  <c:v>4.7619047619047623E-3</c:v>
                </c:pt>
                <c:pt idx="28">
                  <c:v>4.5977011494252873E-3</c:v>
                </c:pt>
                <c:pt idx="29">
                  <c:v>4.4444444444444444E-3</c:v>
                </c:pt>
                <c:pt idx="30">
                  <c:v>4.3010752688172043E-3</c:v>
                </c:pt>
                <c:pt idx="31">
                  <c:v>4.1666666666666666E-3</c:v>
                </c:pt>
                <c:pt idx="32">
                  <c:v>4.0404040404040404E-3</c:v>
                </c:pt>
              </c:numCache>
            </c:numRef>
          </c:cat>
          <c:val>
            <c:numRef>
              <c:f>Arkusz1!$E$38:$E$70</c:f>
              <c:numCache>
                <c:formatCode>General</c:formatCode>
                <c:ptCount val="33"/>
                <c:pt idx="0">
                  <c:v>2.370370370366004E-2</c:v>
                </c:pt>
                <c:pt idx="1">
                  <c:v>5.9259259259079045E-3</c:v>
                </c:pt>
                <c:pt idx="2">
                  <c:v>2.6337448560127541E-3</c:v>
                </c:pt>
                <c:pt idx="3">
                  <c:v>1.4814814815338195E-3</c:v>
                </c:pt>
                <c:pt idx="4">
                  <c:v>9.4814814818278137E-4</c:v>
                </c:pt>
                <c:pt idx="5">
                  <c:v>6.5843621402450481E-4</c:v>
                </c:pt>
                <c:pt idx="6">
                  <c:v>4.8374905523473899E-4</c:v>
                </c:pt>
                <c:pt idx="7">
                  <c:v>3.7037037034792775E-4</c:v>
                </c:pt>
                <c:pt idx="8">
                  <c:v>2.9263831731896062E-4</c:v>
                </c:pt>
                <c:pt idx="9">
                  <c:v>2.3703703712385504E-4</c:v>
                </c:pt>
                <c:pt idx="10">
                  <c:v>1.95898377796766E-4</c:v>
                </c:pt>
                <c:pt idx="11">
                  <c:v>1.6460905354165334E-4</c:v>
                </c:pt>
                <c:pt idx="12">
                  <c:v>1.4025860190258754E-4</c:v>
                </c:pt>
                <c:pt idx="13">
                  <c:v>1.2093726383000103E-4</c:v>
                </c:pt>
                <c:pt idx="14">
                  <c:v>1.0534979438148184E-4</c:v>
                </c:pt>
                <c:pt idx="15">
                  <c:v>9.2592592579876509E-5</c:v>
                </c:pt>
                <c:pt idx="16">
                  <c:v>8.2019735998528631E-5</c:v>
                </c:pt>
                <c:pt idx="17">
                  <c:v>7.3159579415005282E-5</c:v>
                </c:pt>
                <c:pt idx="18">
                  <c:v>6.5661229029956303E-5</c:v>
                </c:pt>
                <c:pt idx="19">
                  <c:v>5.9259259387545171E-5</c:v>
                </c:pt>
                <c:pt idx="20">
                  <c:v>5.3749895130295045E-5</c:v>
                </c:pt>
                <c:pt idx="21">
                  <c:v>4.89745944491915E-5</c:v>
                </c:pt>
                <c:pt idx="22">
                  <c:v>4.4808513820271401E-5</c:v>
                </c:pt>
                <c:pt idx="23">
                  <c:v>4.1152263321464488E-5</c:v>
                </c:pt>
                <c:pt idx="24">
                  <c:v>3.792592593754307E-5</c:v>
                </c:pt>
                <c:pt idx="25">
                  <c:v>3.5064650575122869E-5</c:v>
                </c:pt>
                <c:pt idx="26">
                  <c:v>3.2515368559415947E-5</c:v>
                </c:pt>
                <c:pt idx="27">
                  <c:v>3.0234315943289403E-5</c:v>
                </c:pt>
                <c:pt idx="28">
                  <c:v>2.8185141133008074E-5</c:v>
                </c:pt>
                <c:pt idx="29">
                  <c:v>2.6337448673530162E-5</c:v>
                </c:pt>
                <c:pt idx="30">
                  <c:v>2.466566465386677E-5</c:v>
                </c:pt>
                <c:pt idx="31">
                  <c:v>2.3148148159179982E-5</c:v>
                </c:pt>
                <c:pt idx="32">
                  <c:v>2.1766486298702148E-5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42-0C49-95F5-0633616B8608}"/>
            </c:ext>
          </c:extLst>
        </c:ser>
        <c:ser>
          <c:idx val="1"/>
          <c:order val="1"/>
          <c:tx>
            <c:strRef>
              <c:f>Arkusz1!$G$37</c:f>
              <c:strCache>
                <c:ptCount val="1"/>
                <c:pt idx="0">
                  <c:v>błąd bezwzględny simpson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Arkusz1!$B$38:$B$70</c:f>
              <c:numCache>
                <c:formatCode>General</c:formatCode>
                <c:ptCount val="33"/>
                <c:pt idx="0">
                  <c:v>0.13333333333333333</c:v>
                </c:pt>
                <c:pt idx="1">
                  <c:v>6.6666666666666666E-2</c:v>
                </c:pt>
                <c:pt idx="2">
                  <c:v>4.4444444444444446E-2</c:v>
                </c:pt>
                <c:pt idx="3">
                  <c:v>3.3333333333333333E-2</c:v>
                </c:pt>
                <c:pt idx="4">
                  <c:v>2.6666666666666668E-2</c:v>
                </c:pt>
                <c:pt idx="5">
                  <c:v>2.2222222222222223E-2</c:v>
                </c:pt>
                <c:pt idx="6">
                  <c:v>1.9047619047619049E-2</c:v>
                </c:pt>
                <c:pt idx="7">
                  <c:v>1.6666666666666666E-2</c:v>
                </c:pt>
                <c:pt idx="8">
                  <c:v>1.4814814814814815E-2</c:v>
                </c:pt>
                <c:pt idx="9">
                  <c:v>1.3333333333333334E-2</c:v>
                </c:pt>
                <c:pt idx="10">
                  <c:v>1.2121212121212121E-2</c:v>
                </c:pt>
                <c:pt idx="11">
                  <c:v>1.1111111111111112E-2</c:v>
                </c:pt>
                <c:pt idx="12">
                  <c:v>1.0256410256410256E-2</c:v>
                </c:pt>
                <c:pt idx="13">
                  <c:v>9.5238095238095247E-3</c:v>
                </c:pt>
                <c:pt idx="14">
                  <c:v>8.8888888888888889E-3</c:v>
                </c:pt>
                <c:pt idx="15">
                  <c:v>8.3333333333333332E-3</c:v>
                </c:pt>
                <c:pt idx="16">
                  <c:v>7.8431372549019607E-3</c:v>
                </c:pt>
                <c:pt idx="17">
                  <c:v>7.4074074074074077E-3</c:v>
                </c:pt>
                <c:pt idx="18">
                  <c:v>7.0175438596491229E-3</c:v>
                </c:pt>
                <c:pt idx="19">
                  <c:v>6.6666666666666671E-3</c:v>
                </c:pt>
                <c:pt idx="20">
                  <c:v>6.3492063492063492E-3</c:v>
                </c:pt>
                <c:pt idx="21">
                  <c:v>6.0606060606060606E-3</c:v>
                </c:pt>
                <c:pt idx="22">
                  <c:v>5.7971014492753624E-3</c:v>
                </c:pt>
                <c:pt idx="23">
                  <c:v>5.5555555555555558E-3</c:v>
                </c:pt>
                <c:pt idx="24">
                  <c:v>5.3333333333333332E-3</c:v>
                </c:pt>
                <c:pt idx="25">
                  <c:v>5.1282051282051282E-3</c:v>
                </c:pt>
                <c:pt idx="26">
                  <c:v>4.9382716049382715E-3</c:v>
                </c:pt>
                <c:pt idx="27">
                  <c:v>4.7619047619047623E-3</c:v>
                </c:pt>
                <c:pt idx="28">
                  <c:v>4.5977011494252873E-3</c:v>
                </c:pt>
                <c:pt idx="29">
                  <c:v>4.4444444444444444E-3</c:v>
                </c:pt>
                <c:pt idx="30">
                  <c:v>4.3010752688172043E-3</c:v>
                </c:pt>
                <c:pt idx="31">
                  <c:v>4.1666666666666666E-3</c:v>
                </c:pt>
                <c:pt idx="32">
                  <c:v>4.0404040404040404E-3</c:v>
                </c:pt>
              </c:numCache>
            </c:numRef>
          </c:cat>
          <c:val>
            <c:numRef>
              <c:f>Arkusz1!$G$38:$G$70</c:f>
              <c:numCache>
                <c:formatCode>General</c:formatCode>
                <c:ptCount val="33"/>
                <c:pt idx="0">
                  <c:v>2.8421709430404007E-14</c:v>
                </c:pt>
                <c:pt idx="1">
                  <c:v>2.8421709430404007E-14</c:v>
                </c:pt>
                <c:pt idx="2">
                  <c:v>2.8421709430404007E-14</c:v>
                </c:pt>
                <c:pt idx="3">
                  <c:v>2.8421709430404007E-14</c:v>
                </c:pt>
                <c:pt idx="4">
                  <c:v>0</c:v>
                </c:pt>
                <c:pt idx="5">
                  <c:v>2.8421709430404007E-14</c:v>
                </c:pt>
                <c:pt idx="6">
                  <c:v>5.6843418860808015E-14</c:v>
                </c:pt>
                <c:pt idx="7">
                  <c:v>5.6843418860808015E-14</c:v>
                </c:pt>
                <c:pt idx="8">
                  <c:v>2.8421709430404007E-14</c:v>
                </c:pt>
                <c:pt idx="9">
                  <c:v>0</c:v>
                </c:pt>
                <c:pt idx="10">
                  <c:v>0</c:v>
                </c:pt>
                <c:pt idx="11">
                  <c:v>2.8421709430404007E-14</c:v>
                </c:pt>
                <c:pt idx="12">
                  <c:v>2.8421709430404007E-14</c:v>
                </c:pt>
                <c:pt idx="13">
                  <c:v>2.8421709430404007E-14</c:v>
                </c:pt>
                <c:pt idx="14">
                  <c:v>5.6843418860808015E-14</c:v>
                </c:pt>
                <c:pt idx="15">
                  <c:v>5.6843418860808015E-14</c:v>
                </c:pt>
                <c:pt idx="16">
                  <c:v>2.8421709430404007E-14</c:v>
                </c:pt>
                <c:pt idx="17">
                  <c:v>2.8421709430404007E-14</c:v>
                </c:pt>
                <c:pt idx="18">
                  <c:v>2.8421709430404007E-14</c:v>
                </c:pt>
                <c:pt idx="19">
                  <c:v>0</c:v>
                </c:pt>
                <c:pt idx="20">
                  <c:v>5.6843418860808015E-14</c:v>
                </c:pt>
                <c:pt idx="21">
                  <c:v>5.6843418860808015E-14</c:v>
                </c:pt>
                <c:pt idx="22">
                  <c:v>2.8421709430404007E-14</c:v>
                </c:pt>
                <c:pt idx="23">
                  <c:v>0</c:v>
                </c:pt>
                <c:pt idx="24">
                  <c:v>2.8421709430404007E-14</c:v>
                </c:pt>
                <c:pt idx="25">
                  <c:v>2.8421709430404007E-14</c:v>
                </c:pt>
                <c:pt idx="26">
                  <c:v>2.8421709430404007E-14</c:v>
                </c:pt>
                <c:pt idx="27">
                  <c:v>0</c:v>
                </c:pt>
                <c:pt idx="28">
                  <c:v>2.8421709430404007E-14</c:v>
                </c:pt>
                <c:pt idx="29">
                  <c:v>0</c:v>
                </c:pt>
                <c:pt idx="30">
                  <c:v>2.8421709430404007E-14</c:v>
                </c:pt>
                <c:pt idx="31">
                  <c:v>1.1368683772161603E-13</c:v>
                </c:pt>
                <c:pt idx="32">
                  <c:v>8.5265128291212022E-14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42-0C49-95F5-0633616B8608}"/>
            </c:ext>
          </c:extLst>
        </c:ser>
        <c:ser>
          <c:idx val="2"/>
          <c:order val="2"/>
          <c:tx>
            <c:strRef>
              <c:f>Arkusz1!$I$37</c:f>
              <c:strCache>
                <c:ptCount val="1"/>
                <c:pt idx="0">
                  <c:v>błąd bezwzględny 3/8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Arkusz1!$B$38:$B$70</c:f>
              <c:numCache>
                <c:formatCode>General</c:formatCode>
                <c:ptCount val="33"/>
                <c:pt idx="0">
                  <c:v>0.13333333333333333</c:v>
                </c:pt>
                <c:pt idx="1">
                  <c:v>6.6666666666666666E-2</c:v>
                </c:pt>
                <c:pt idx="2">
                  <c:v>4.4444444444444446E-2</c:v>
                </c:pt>
                <c:pt idx="3">
                  <c:v>3.3333333333333333E-2</c:v>
                </c:pt>
                <c:pt idx="4">
                  <c:v>2.6666666666666668E-2</c:v>
                </c:pt>
                <c:pt idx="5">
                  <c:v>2.2222222222222223E-2</c:v>
                </c:pt>
                <c:pt idx="6">
                  <c:v>1.9047619047619049E-2</c:v>
                </c:pt>
                <c:pt idx="7">
                  <c:v>1.6666666666666666E-2</c:v>
                </c:pt>
                <c:pt idx="8">
                  <c:v>1.4814814814814815E-2</c:v>
                </c:pt>
                <c:pt idx="9">
                  <c:v>1.3333333333333334E-2</c:v>
                </c:pt>
                <c:pt idx="10">
                  <c:v>1.2121212121212121E-2</c:v>
                </c:pt>
                <c:pt idx="11">
                  <c:v>1.1111111111111112E-2</c:v>
                </c:pt>
                <c:pt idx="12">
                  <c:v>1.0256410256410256E-2</c:v>
                </c:pt>
                <c:pt idx="13">
                  <c:v>9.5238095238095247E-3</c:v>
                </c:pt>
                <c:pt idx="14">
                  <c:v>8.8888888888888889E-3</c:v>
                </c:pt>
                <c:pt idx="15">
                  <c:v>8.3333333333333332E-3</c:v>
                </c:pt>
                <c:pt idx="16">
                  <c:v>7.8431372549019607E-3</c:v>
                </c:pt>
                <c:pt idx="17">
                  <c:v>7.4074074074074077E-3</c:v>
                </c:pt>
                <c:pt idx="18">
                  <c:v>7.0175438596491229E-3</c:v>
                </c:pt>
                <c:pt idx="19">
                  <c:v>6.6666666666666671E-3</c:v>
                </c:pt>
                <c:pt idx="20">
                  <c:v>6.3492063492063492E-3</c:v>
                </c:pt>
                <c:pt idx="21">
                  <c:v>6.0606060606060606E-3</c:v>
                </c:pt>
                <c:pt idx="22">
                  <c:v>5.7971014492753624E-3</c:v>
                </c:pt>
                <c:pt idx="23">
                  <c:v>5.5555555555555558E-3</c:v>
                </c:pt>
                <c:pt idx="24">
                  <c:v>5.3333333333333332E-3</c:v>
                </c:pt>
                <c:pt idx="25">
                  <c:v>5.1282051282051282E-3</c:v>
                </c:pt>
                <c:pt idx="26">
                  <c:v>4.9382716049382715E-3</c:v>
                </c:pt>
                <c:pt idx="27">
                  <c:v>4.7619047619047623E-3</c:v>
                </c:pt>
                <c:pt idx="28">
                  <c:v>4.5977011494252873E-3</c:v>
                </c:pt>
                <c:pt idx="29">
                  <c:v>4.4444444444444444E-3</c:v>
                </c:pt>
                <c:pt idx="30">
                  <c:v>4.3010752688172043E-3</c:v>
                </c:pt>
                <c:pt idx="31">
                  <c:v>4.1666666666666666E-3</c:v>
                </c:pt>
                <c:pt idx="32">
                  <c:v>4.0404040404040404E-3</c:v>
                </c:pt>
              </c:numCache>
            </c:numRef>
          </c:cat>
          <c:val>
            <c:numRef>
              <c:f>Arkusz1!$I$38:$I$70</c:f>
              <c:numCache>
                <c:formatCode>General</c:formatCode>
                <c:ptCount val="33"/>
                <c:pt idx="0">
                  <c:v>2.8421709430404007E-14</c:v>
                </c:pt>
                <c:pt idx="1">
                  <c:v>2.8421709430404007E-14</c:v>
                </c:pt>
                <c:pt idx="2">
                  <c:v>0</c:v>
                </c:pt>
                <c:pt idx="3">
                  <c:v>0</c:v>
                </c:pt>
                <c:pt idx="4">
                  <c:v>2.8421709430404007E-14</c:v>
                </c:pt>
                <c:pt idx="5">
                  <c:v>5.6843418860808015E-14</c:v>
                </c:pt>
                <c:pt idx="6">
                  <c:v>2.8421709430404007E-14</c:v>
                </c:pt>
                <c:pt idx="7">
                  <c:v>2.8421709430404007E-14</c:v>
                </c:pt>
                <c:pt idx="8">
                  <c:v>2.8421709430404007E-14</c:v>
                </c:pt>
                <c:pt idx="9">
                  <c:v>2.8421709430404007E-14</c:v>
                </c:pt>
                <c:pt idx="10">
                  <c:v>2.8421709430404007E-14</c:v>
                </c:pt>
                <c:pt idx="11">
                  <c:v>0</c:v>
                </c:pt>
                <c:pt idx="12">
                  <c:v>0</c:v>
                </c:pt>
                <c:pt idx="13">
                  <c:v>2.8421709430404007E-14</c:v>
                </c:pt>
                <c:pt idx="14">
                  <c:v>0</c:v>
                </c:pt>
                <c:pt idx="15">
                  <c:v>0</c:v>
                </c:pt>
                <c:pt idx="16">
                  <c:v>2.8421709430404007E-14</c:v>
                </c:pt>
                <c:pt idx="17">
                  <c:v>0</c:v>
                </c:pt>
                <c:pt idx="18">
                  <c:v>2.8421709430404007E-14</c:v>
                </c:pt>
                <c:pt idx="19">
                  <c:v>2.8421709430404007E-14</c:v>
                </c:pt>
                <c:pt idx="20">
                  <c:v>2.8421709430404007E-14</c:v>
                </c:pt>
                <c:pt idx="21">
                  <c:v>2.8421709430404007E-14</c:v>
                </c:pt>
                <c:pt idx="22">
                  <c:v>8.5265128291212022E-14</c:v>
                </c:pt>
                <c:pt idx="23">
                  <c:v>2.8421709430404007E-14</c:v>
                </c:pt>
                <c:pt idx="24">
                  <c:v>2.8421709430404007E-14</c:v>
                </c:pt>
                <c:pt idx="25">
                  <c:v>2.8421709430404007E-14</c:v>
                </c:pt>
                <c:pt idx="26">
                  <c:v>2.8421709430404007E-14</c:v>
                </c:pt>
                <c:pt idx="27">
                  <c:v>8.5265128291212022E-14</c:v>
                </c:pt>
                <c:pt idx="28">
                  <c:v>8.5265128291212022E-14</c:v>
                </c:pt>
                <c:pt idx="29">
                  <c:v>8.5265128291212022E-14</c:v>
                </c:pt>
                <c:pt idx="30">
                  <c:v>2.8421709430404007E-14</c:v>
                </c:pt>
                <c:pt idx="31">
                  <c:v>2.8421709430404007E-14</c:v>
                </c:pt>
                <c:pt idx="32">
                  <c:v>5.6843418860808015E-14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42-0C49-95F5-0633616B8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23744"/>
        <c:axId val="313025392"/>
      </c:lineChart>
      <c:catAx>
        <c:axId val="31302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13025392"/>
        <c:crosses val="autoZero"/>
        <c:auto val="1"/>
        <c:lblAlgn val="ctr"/>
        <c:lblOffset val="100"/>
        <c:noMultiLvlLbl val="0"/>
      </c:catAx>
      <c:valAx>
        <c:axId val="313025392"/>
        <c:scaling>
          <c:logBase val="10"/>
          <c:orientation val="minMax"/>
          <c:max val="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1302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l-PL" sz="1800" b="0" i="0" baseline="0">
                <a:effectLst/>
              </a:rPr>
              <a:t>Wartości bezwzględne błędów od h kroku całkowania dla funkcji sinx</a:t>
            </a:r>
            <a:endParaRPr lang="pl-PL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Arkusz1!$E$73</c:f>
              <c:strCache>
                <c:ptCount val="1"/>
                <c:pt idx="0">
                  <c:v>błąd bezwzględny trapez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Arkusz1!$B$74:$B$106</c:f>
              <c:numCache>
                <c:formatCode>General</c:formatCode>
                <c:ptCount val="33"/>
                <c:pt idx="0">
                  <c:v>0.13333333333333333</c:v>
                </c:pt>
                <c:pt idx="1">
                  <c:v>6.6666666666666666E-2</c:v>
                </c:pt>
                <c:pt idx="2">
                  <c:v>4.4444444444444446E-2</c:v>
                </c:pt>
                <c:pt idx="3">
                  <c:v>3.3333333333333333E-2</c:v>
                </c:pt>
                <c:pt idx="4">
                  <c:v>2.6666666666666668E-2</c:v>
                </c:pt>
                <c:pt idx="5">
                  <c:v>2.2222222222222223E-2</c:v>
                </c:pt>
                <c:pt idx="6">
                  <c:v>1.9047619047619049E-2</c:v>
                </c:pt>
                <c:pt idx="7">
                  <c:v>1.6666666666666666E-2</c:v>
                </c:pt>
                <c:pt idx="8">
                  <c:v>1.4814814814814815E-2</c:v>
                </c:pt>
                <c:pt idx="9">
                  <c:v>1.3333333333333334E-2</c:v>
                </c:pt>
                <c:pt idx="10">
                  <c:v>1.2121212121212121E-2</c:v>
                </c:pt>
                <c:pt idx="11">
                  <c:v>1.1111111111111112E-2</c:v>
                </c:pt>
                <c:pt idx="12">
                  <c:v>1.0256410256410256E-2</c:v>
                </c:pt>
                <c:pt idx="13">
                  <c:v>9.5238095238095247E-3</c:v>
                </c:pt>
                <c:pt idx="14">
                  <c:v>8.8888888888888889E-3</c:v>
                </c:pt>
                <c:pt idx="15">
                  <c:v>8.3333333333333332E-3</c:v>
                </c:pt>
                <c:pt idx="16">
                  <c:v>7.8431372549019607E-3</c:v>
                </c:pt>
                <c:pt idx="17">
                  <c:v>7.4074074074074077E-3</c:v>
                </c:pt>
                <c:pt idx="18">
                  <c:v>7.0175438596491229E-3</c:v>
                </c:pt>
                <c:pt idx="19">
                  <c:v>6.6666666666666671E-3</c:v>
                </c:pt>
                <c:pt idx="20">
                  <c:v>6.3492063492063492E-3</c:v>
                </c:pt>
                <c:pt idx="21">
                  <c:v>6.0606060606060606E-3</c:v>
                </c:pt>
                <c:pt idx="22">
                  <c:v>5.7971014492753624E-3</c:v>
                </c:pt>
                <c:pt idx="23">
                  <c:v>5.5555555555555558E-3</c:v>
                </c:pt>
                <c:pt idx="24">
                  <c:v>5.3333333333333332E-3</c:v>
                </c:pt>
                <c:pt idx="25">
                  <c:v>5.1282051282051282E-3</c:v>
                </c:pt>
                <c:pt idx="26">
                  <c:v>4.9382716049382715E-3</c:v>
                </c:pt>
                <c:pt idx="27">
                  <c:v>4.7619047619047623E-3</c:v>
                </c:pt>
                <c:pt idx="28">
                  <c:v>4.5977011494252873E-3</c:v>
                </c:pt>
                <c:pt idx="29">
                  <c:v>4.4444444444444444E-3</c:v>
                </c:pt>
                <c:pt idx="30">
                  <c:v>4.3010752688172043E-3</c:v>
                </c:pt>
                <c:pt idx="31">
                  <c:v>4.1666666666666666E-3</c:v>
                </c:pt>
                <c:pt idx="32">
                  <c:v>4.0404040404040404E-3</c:v>
                </c:pt>
              </c:numCache>
            </c:numRef>
          </c:cat>
          <c:val>
            <c:numRef>
              <c:f>Arkusz1!$E$74:$E$106</c:f>
              <c:numCache>
                <c:formatCode>General</c:formatCode>
                <c:ptCount val="33"/>
                <c:pt idx="0">
                  <c:v>3.8032028759005243E-4</c:v>
                </c:pt>
                <c:pt idx="1">
                  <c:v>9.5058938072822841E-5</c:v>
                </c:pt>
                <c:pt idx="2">
                  <c:v>4.224667816699057E-5</c:v>
                </c:pt>
                <c:pt idx="3">
                  <c:v>2.3763414177591091E-5</c:v>
                </c:pt>
                <c:pt idx="4">
                  <c:v>1.520848368097294E-5</c:v>
                </c:pt>
                <c:pt idx="5">
                  <c:v>1.0561408751719181E-5</c:v>
                </c:pt>
                <c:pt idx="6">
                  <c:v>7.759385405037289E-6</c:v>
                </c:pt>
                <c:pt idx="7">
                  <c:v>5.9407710319425711E-6</c:v>
                </c:pt>
                <c:pt idx="8">
                  <c:v>4.6939379817478866E-6</c:v>
                </c:pt>
                <c:pt idx="9">
                  <c:v>3.8020871228616748E-6</c:v>
                </c:pt>
                <c:pt idx="10">
                  <c:v>3.142219147600489E-6</c:v>
                </c:pt>
                <c:pt idx="11">
                  <c:v>2.6403358908133612E-6</c:v>
                </c:pt>
                <c:pt idx="12">
                  <c:v>2.2497529709175623E-6</c:v>
                </c:pt>
                <c:pt idx="13">
                  <c:v>1.9398375549206648E-6</c:v>
                </c:pt>
                <c:pt idx="14">
                  <c:v>1.6898137179532924E-6</c:v>
                </c:pt>
                <c:pt idx="15">
                  <c:v>1.4851876011801046E-6</c:v>
                </c:pt>
                <c:pt idx="16">
                  <c:v>1.3155985312818252E-6</c:v>
                </c:pt>
                <c:pt idx="17">
                  <c:v>1.1734812756514224E-6</c:v>
                </c:pt>
                <c:pt idx="18">
                  <c:v>1.0532074729563412E-6</c:v>
                </c:pt>
                <c:pt idx="19">
                  <c:v>9.5051966997328208E-7</c:v>
                </c:pt>
                <c:pt idx="20">
                  <c:v>8.6214929950756414E-7</c:v>
                </c:pt>
                <c:pt idx="21">
                  <c:v>7.8555334553920275E-7</c:v>
                </c:pt>
                <c:pt idx="22">
                  <c:v>7.1872929929828189E-7</c:v>
                </c:pt>
                <c:pt idx="23">
                  <c:v>6.6008295157571339E-7</c:v>
                </c:pt>
                <c:pt idx="24">
                  <c:v>6.0833242659930065E-7</c:v>
                </c:pt>
                <c:pt idx="25">
                  <c:v>5.6243750345963406E-7</c:v>
                </c:pt>
                <c:pt idx="26">
                  <c:v>5.2154696805750689E-7</c:v>
                </c:pt>
                <c:pt idx="27">
                  <c:v>4.8495883891996883E-7</c:v>
                </c:pt>
                <c:pt idx="28">
                  <c:v>4.5209003524115943E-7</c:v>
                </c:pt>
                <c:pt idx="29">
                  <c:v>4.2245301212773256E-7</c:v>
                </c:pt>
                <c:pt idx="30">
                  <c:v>3.9563756787375226E-7</c:v>
                </c:pt>
                <c:pt idx="31">
                  <c:v>3.7129657776135971E-7</c:v>
                </c:pt>
                <c:pt idx="32">
                  <c:v>3.4913470103870026E-7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DA-484E-A5E5-FF87B5C568FC}"/>
            </c:ext>
          </c:extLst>
        </c:ser>
        <c:ser>
          <c:idx val="1"/>
          <c:order val="1"/>
          <c:tx>
            <c:strRef>
              <c:f>Arkusz1!$G$73</c:f>
              <c:strCache>
                <c:ptCount val="1"/>
                <c:pt idx="0">
                  <c:v>błąd bezwzględny simpson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Arkusz1!$B$74:$B$106</c:f>
              <c:numCache>
                <c:formatCode>General</c:formatCode>
                <c:ptCount val="33"/>
                <c:pt idx="0">
                  <c:v>0.13333333333333333</c:v>
                </c:pt>
                <c:pt idx="1">
                  <c:v>6.6666666666666666E-2</c:v>
                </c:pt>
                <c:pt idx="2">
                  <c:v>4.4444444444444446E-2</c:v>
                </c:pt>
                <c:pt idx="3">
                  <c:v>3.3333333333333333E-2</c:v>
                </c:pt>
                <c:pt idx="4">
                  <c:v>2.6666666666666668E-2</c:v>
                </c:pt>
                <c:pt idx="5">
                  <c:v>2.2222222222222223E-2</c:v>
                </c:pt>
                <c:pt idx="6">
                  <c:v>1.9047619047619049E-2</c:v>
                </c:pt>
                <c:pt idx="7">
                  <c:v>1.6666666666666666E-2</c:v>
                </c:pt>
                <c:pt idx="8">
                  <c:v>1.4814814814814815E-2</c:v>
                </c:pt>
                <c:pt idx="9">
                  <c:v>1.3333333333333334E-2</c:v>
                </c:pt>
                <c:pt idx="10">
                  <c:v>1.2121212121212121E-2</c:v>
                </c:pt>
                <c:pt idx="11">
                  <c:v>1.1111111111111112E-2</c:v>
                </c:pt>
                <c:pt idx="12">
                  <c:v>1.0256410256410256E-2</c:v>
                </c:pt>
                <c:pt idx="13">
                  <c:v>9.5238095238095247E-3</c:v>
                </c:pt>
                <c:pt idx="14">
                  <c:v>8.8888888888888889E-3</c:v>
                </c:pt>
                <c:pt idx="15">
                  <c:v>8.3333333333333332E-3</c:v>
                </c:pt>
                <c:pt idx="16">
                  <c:v>7.8431372549019607E-3</c:v>
                </c:pt>
                <c:pt idx="17">
                  <c:v>7.4074074074074077E-3</c:v>
                </c:pt>
                <c:pt idx="18">
                  <c:v>7.0175438596491229E-3</c:v>
                </c:pt>
                <c:pt idx="19">
                  <c:v>6.6666666666666671E-3</c:v>
                </c:pt>
                <c:pt idx="20">
                  <c:v>6.3492063492063492E-3</c:v>
                </c:pt>
                <c:pt idx="21">
                  <c:v>6.0606060606060606E-3</c:v>
                </c:pt>
                <c:pt idx="22">
                  <c:v>5.7971014492753624E-3</c:v>
                </c:pt>
                <c:pt idx="23">
                  <c:v>5.5555555555555558E-3</c:v>
                </c:pt>
                <c:pt idx="24">
                  <c:v>5.3333333333333332E-3</c:v>
                </c:pt>
                <c:pt idx="25">
                  <c:v>5.1282051282051282E-3</c:v>
                </c:pt>
                <c:pt idx="26">
                  <c:v>4.9382716049382715E-3</c:v>
                </c:pt>
                <c:pt idx="27">
                  <c:v>4.7619047619047623E-3</c:v>
                </c:pt>
                <c:pt idx="28">
                  <c:v>4.5977011494252873E-3</c:v>
                </c:pt>
                <c:pt idx="29">
                  <c:v>4.4444444444444444E-3</c:v>
                </c:pt>
                <c:pt idx="30">
                  <c:v>4.3010752688172043E-3</c:v>
                </c:pt>
                <c:pt idx="31">
                  <c:v>4.1666666666666666E-3</c:v>
                </c:pt>
                <c:pt idx="32">
                  <c:v>4.0404040404040404E-3</c:v>
                </c:pt>
              </c:numCache>
            </c:numRef>
          </c:cat>
          <c:val>
            <c:numRef>
              <c:f>Arkusz1!$G$74:$G$106</c:f>
              <c:numCache>
                <c:formatCode>General</c:formatCode>
                <c:ptCount val="33"/>
                <c:pt idx="0">
                  <c:v>4.5157186684408046E-7</c:v>
                </c:pt>
                <c:pt idx="1">
                  <c:v>2.8178432975867196E-8</c:v>
                </c:pt>
                <c:pt idx="2">
                  <c:v>5.5644740482030386E-9</c:v>
                </c:pt>
                <c:pt idx="3">
                  <c:v>1.7604528390613439E-9</c:v>
                </c:pt>
                <c:pt idx="4">
                  <c:v>7.2104661130723002E-10</c:v>
                </c:pt>
                <c:pt idx="5">
                  <c:v>3.4771779899855915E-10</c:v>
                </c:pt>
                <c:pt idx="6">
                  <c:v>1.8768608889274674E-10</c:v>
                </c:pt>
                <c:pt idx="7">
                  <c:v>1.1001766164753235E-10</c:v>
                </c:pt>
                <c:pt idx="8">
                  <c:v>6.8682282083898372E-11</c:v>
                </c:pt>
                <c:pt idx="9">
                  <c:v>4.506200967924201E-11</c:v>
                </c:pt>
                <c:pt idx="10">
                  <c:v>3.0778823933985677E-11</c:v>
                </c:pt>
                <c:pt idx="11">
                  <c:v>2.1732338151281283E-11</c:v>
                </c:pt>
                <c:pt idx="12">
                  <c:v>1.5777879003309181E-11</c:v>
                </c:pt>
                <c:pt idx="13">
                  <c:v>1.1730505455886941E-11</c:v>
                </c:pt>
                <c:pt idx="14">
                  <c:v>8.9018237225957364E-12</c:v>
                </c:pt>
                <c:pt idx="15">
                  <c:v>6.8756667026548257E-12</c:v>
                </c:pt>
                <c:pt idx="16">
                  <c:v>5.3948512324097919E-12</c:v>
                </c:pt>
                <c:pt idx="17">
                  <c:v>4.2923997689570115E-12</c:v>
                </c:pt>
                <c:pt idx="18">
                  <c:v>3.4577340990438188E-12</c:v>
                </c:pt>
                <c:pt idx="19">
                  <c:v>2.8163027465666346E-12</c:v>
                </c:pt>
                <c:pt idx="20">
                  <c:v>2.3169244300902392E-12</c:v>
                </c:pt>
                <c:pt idx="21">
                  <c:v>1.9234058790118524E-12</c:v>
                </c:pt>
                <c:pt idx="22">
                  <c:v>1.6106005418237146E-12</c:v>
                </c:pt>
                <c:pt idx="23">
                  <c:v>1.3577472479653352E-12</c:v>
                </c:pt>
                <c:pt idx="24">
                  <c:v>1.1545764344589315E-12</c:v>
                </c:pt>
                <c:pt idx="25">
                  <c:v>9.8698826889176416E-13</c:v>
                </c:pt>
                <c:pt idx="26">
                  <c:v>8.4970919189686356E-13</c:v>
                </c:pt>
                <c:pt idx="27">
                  <c:v>7.3213657358905948E-13</c:v>
                </c:pt>
                <c:pt idx="28">
                  <c:v>6.3832272800823375E-13</c:v>
                </c:pt>
                <c:pt idx="29">
                  <c:v>5.5644377994212846E-13</c:v>
                </c:pt>
                <c:pt idx="30">
                  <c:v>4.8799853047398756E-13</c:v>
                </c:pt>
                <c:pt idx="31">
                  <c:v>4.3032244434471068E-13</c:v>
                </c:pt>
                <c:pt idx="32">
                  <c:v>3.801403636316536E-13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DA-484E-A5E5-FF87B5C568FC}"/>
            </c:ext>
          </c:extLst>
        </c:ser>
        <c:ser>
          <c:idx val="2"/>
          <c:order val="2"/>
          <c:tx>
            <c:strRef>
              <c:f>Arkusz1!$I$73</c:f>
              <c:strCache>
                <c:ptCount val="1"/>
                <c:pt idx="0">
                  <c:v>błąd bezwzględny 3/8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Arkusz1!$B$74:$B$106</c:f>
              <c:numCache>
                <c:formatCode>General</c:formatCode>
                <c:ptCount val="33"/>
                <c:pt idx="0">
                  <c:v>0.13333333333333333</c:v>
                </c:pt>
                <c:pt idx="1">
                  <c:v>6.6666666666666666E-2</c:v>
                </c:pt>
                <c:pt idx="2">
                  <c:v>4.4444444444444446E-2</c:v>
                </c:pt>
                <c:pt idx="3">
                  <c:v>3.3333333333333333E-2</c:v>
                </c:pt>
                <c:pt idx="4">
                  <c:v>2.6666666666666668E-2</c:v>
                </c:pt>
                <c:pt idx="5">
                  <c:v>2.2222222222222223E-2</c:v>
                </c:pt>
                <c:pt idx="6">
                  <c:v>1.9047619047619049E-2</c:v>
                </c:pt>
                <c:pt idx="7">
                  <c:v>1.6666666666666666E-2</c:v>
                </c:pt>
                <c:pt idx="8">
                  <c:v>1.4814814814814815E-2</c:v>
                </c:pt>
                <c:pt idx="9">
                  <c:v>1.3333333333333334E-2</c:v>
                </c:pt>
                <c:pt idx="10">
                  <c:v>1.2121212121212121E-2</c:v>
                </c:pt>
                <c:pt idx="11">
                  <c:v>1.1111111111111112E-2</c:v>
                </c:pt>
                <c:pt idx="12">
                  <c:v>1.0256410256410256E-2</c:v>
                </c:pt>
                <c:pt idx="13">
                  <c:v>9.5238095238095247E-3</c:v>
                </c:pt>
                <c:pt idx="14">
                  <c:v>8.8888888888888889E-3</c:v>
                </c:pt>
                <c:pt idx="15">
                  <c:v>8.3333333333333332E-3</c:v>
                </c:pt>
                <c:pt idx="16">
                  <c:v>7.8431372549019607E-3</c:v>
                </c:pt>
                <c:pt idx="17">
                  <c:v>7.4074074074074077E-3</c:v>
                </c:pt>
                <c:pt idx="18">
                  <c:v>7.0175438596491229E-3</c:v>
                </c:pt>
                <c:pt idx="19">
                  <c:v>6.6666666666666671E-3</c:v>
                </c:pt>
                <c:pt idx="20">
                  <c:v>6.3492063492063492E-3</c:v>
                </c:pt>
                <c:pt idx="21">
                  <c:v>6.0606060606060606E-3</c:v>
                </c:pt>
                <c:pt idx="22">
                  <c:v>5.7971014492753624E-3</c:v>
                </c:pt>
                <c:pt idx="23">
                  <c:v>5.5555555555555558E-3</c:v>
                </c:pt>
                <c:pt idx="24">
                  <c:v>5.3333333333333332E-3</c:v>
                </c:pt>
                <c:pt idx="25">
                  <c:v>5.1282051282051282E-3</c:v>
                </c:pt>
                <c:pt idx="26">
                  <c:v>4.9382716049382715E-3</c:v>
                </c:pt>
                <c:pt idx="27">
                  <c:v>4.7619047619047623E-3</c:v>
                </c:pt>
                <c:pt idx="28">
                  <c:v>4.5977011494252873E-3</c:v>
                </c:pt>
                <c:pt idx="29">
                  <c:v>4.4444444444444444E-3</c:v>
                </c:pt>
                <c:pt idx="30">
                  <c:v>4.3010752688172043E-3</c:v>
                </c:pt>
                <c:pt idx="31">
                  <c:v>4.1666666666666666E-3</c:v>
                </c:pt>
                <c:pt idx="32">
                  <c:v>4.0404040404040404E-3</c:v>
                </c:pt>
              </c:numCache>
            </c:numRef>
          </c:cat>
          <c:val>
            <c:numRef>
              <c:f>Arkusz1!$I$74:$I$106</c:f>
              <c:numCache>
                <c:formatCode>General</c:formatCode>
                <c:ptCount val="33"/>
                <c:pt idx="0">
                  <c:v>1.0181959078092717E-6</c:v>
                </c:pt>
                <c:pt idx="1">
                  <c:v>6.3435054875604635E-8</c:v>
                </c:pt>
                <c:pt idx="2">
                  <c:v>1.2523011239107262E-8</c:v>
                </c:pt>
                <c:pt idx="3">
                  <c:v>3.9615437041895518E-9</c:v>
                </c:pt>
                <c:pt idx="4">
                  <c:v>1.6224934729081042E-9</c:v>
                </c:pt>
                <c:pt idx="5">
                  <c:v>7.824119685473363E-10</c:v>
                </c:pt>
                <c:pt idx="6">
                  <c:v>4.2231285135585495E-10</c:v>
                </c:pt>
                <c:pt idx="7">
                  <c:v>2.4754731597909085E-10</c:v>
                </c:pt>
                <c:pt idx="8">
                  <c:v>1.5454015844795777E-10</c:v>
                </c:pt>
                <c:pt idx="9">
                  <c:v>1.0139239448037074E-10</c:v>
                </c:pt>
                <c:pt idx="10">
                  <c:v>6.9252659162799546E-11</c:v>
                </c:pt>
                <c:pt idx="11">
                  <c:v>4.8896497961692376E-11</c:v>
                </c:pt>
                <c:pt idx="12">
                  <c:v>3.5499492234691843E-11</c:v>
                </c:pt>
                <c:pt idx="13">
                  <c:v>2.6392443785994146E-11</c:v>
                </c:pt>
                <c:pt idx="14">
                  <c:v>2.0028034786179205E-11</c:v>
                </c:pt>
                <c:pt idx="15">
                  <c:v>1.5470957848151556E-11</c:v>
                </c:pt>
                <c:pt idx="16">
                  <c:v>1.2139067528948999E-11</c:v>
                </c:pt>
                <c:pt idx="17">
                  <c:v>9.6587737807851681E-12</c:v>
                </c:pt>
                <c:pt idx="18">
                  <c:v>7.7793882446997031E-12</c:v>
                </c:pt>
                <c:pt idx="19">
                  <c:v>6.3368754688042372E-12</c:v>
                </c:pt>
                <c:pt idx="20">
                  <c:v>5.2131632344298851E-12</c:v>
                </c:pt>
                <c:pt idx="21">
                  <c:v>4.3283154838036353E-12</c:v>
                </c:pt>
                <c:pt idx="22">
                  <c:v>3.6238234635277422E-12</c:v>
                </c:pt>
                <c:pt idx="23">
                  <c:v>3.0561109198856684E-12</c:v>
                </c:pt>
                <c:pt idx="24">
                  <c:v>2.5959789873297723E-12</c:v>
                </c:pt>
                <c:pt idx="25">
                  <c:v>2.2190582704695316E-12</c:v>
                </c:pt>
                <c:pt idx="26">
                  <c:v>1.908029290120794E-12</c:v>
                </c:pt>
                <c:pt idx="27">
                  <c:v>1.6490697696269763E-12</c:v>
                </c:pt>
                <c:pt idx="28">
                  <c:v>1.4336309916984646E-12</c:v>
                </c:pt>
                <c:pt idx="29">
                  <c:v>1.2513878822062452E-12</c:v>
                </c:pt>
                <c:pt idx="30">
                  <c:v>1.0970668817833484E-12</c:v>
                </c:pt>
                <c:pt idx="31">
                  <c:v>9.6694874329728009E-13</c:v>
                </c:pt>
                <c:pt idx="32">
                  <c:v>8.5559337392737689E-13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DA-484E-A5E5-FF87B5C56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6918848"/>
        <c:axId val="312152496"/>
      </c:lineChart>
      <c:catAx>
        <c:axId val="31691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12152496"/>
        <c:crosses val="autoZero"/>
        <c:auto val="1"/>
        <c:lblAlgn val="ctr"/>
        <c:lblOffset val="100"/>
        <c:noMultiLvlLbl val="0"/>
      </c:catAx>
      <c:valAx>
        <c:axId val="312152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1691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800" b="0" i="0" baseline="0">
                <a:effectLst/>
              </a:rPr>
              <a:t>Wartości bezwzględne błędów od h kroku całkowania dla funkcji lnx</a:t>
            </a:r>
            <a:endParaRPr lang="pl-PL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Arkusz1!$E$109</c:f>
              <c:strCache>
                <c:ptCount val="1"/>
                <c:pt idx="0">
                  <c:v>błąd bezwzględny trapez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Arkusz1!$B$110:$B$142</c:f>
              <c:numCache>
                <c:formatCode>General</c:formatCode>
                <c:ptCount val="33"/>
                <c:pt idx="0">
                  <c:v>0.13333333333333333</c:v>
                </c:pt>
                <c:pt idx="1">
                  <c:v>6.6666666666666666E-2</c:v>
                </c:pt>
                <c:pt idx="2">
                  <c:v>4.4444444444444446E-2</c:v>
                </c:pt>
                <c:pt idx="3">
                  <c:v>3.3333333333333333E-2</c:v>
                </c:pt>
                <c:pt idx="4">
                  <c:v>2.6666666666666668E-2</c:v>
                </c:pt>
                <c:pt idx="5">
                  <c:v>2.2222222222222223E-2</c:v>
                </c:pt>
                <c:pt idx="6">
                  <c:v>1.9047619047619049E-2</c:v>
                </c:pt>
                <c:pt idx="7">
                  <c:v>1.6666666666666666E-2</c:v>
                </c:pt>
                <c:pt idx="8">
                  <c:v>1.4814814814814815E-2</c:v>
                </c:pt>
                <c:pt idx="9">
                  <c:v>1.3333333333333334E-2</c:v>
                </c:pt>
                <c:pt idx="10">
                  <c:v>1.2121212121212121E-2</c:v>
                </c:pt>
                <c:pt idx="11">
                  <c:v>1.1111111111111112E-2</c:v>
                </c:pt>
                <c:pt idx="12">
                  <c:v>1.0256410256410256E-2</c:v>
                </c:pt>
                <c:pt idx="13">
                  <c:v>9.5238095238095247E-3</c:v>
                </c:pt>
                <c:pt idx="14">
                  <c:v>8.8888888888888889E-3</c:v>
                </c:pt>
                <c:pt idx="15">
                  <c:v>8.3333333333333332E-3</c:v>
                </c:pt>
                <c:pt idx="16">
                  <c:v>7.8431372549019607E-3</c:v>
                </c:pt>
                <c:pt idx="17">
                  <c:v>7.4074074074074077E-3</c:v>
                </c:pt>
                <c:pt idx="18">
                  <c:v>7.0175438596491229E-3</c:v>
                </c:pt>
                <c:pt idx="19">
                  <c:v>6.6666666666666671E-3</c:v>
                </c:pt>
                <c:pt idx="20">
                  <c:v>6.3492063492063492E-3</c:v>
                </c:pt>
                <c:pt idx="21">
                  <c:v>6.0606060606060606E-3</c:v>
                </c:pt>
                <c:pt idx="22">
                  <c:v>5.7971014492753624E-3</c:v>
                </c:pt>
                <c:pt idx="23">
                  <c:v>5.5555555555555558E-3</c:v>
                </c:pt>
                <c:pt idx="24">
                  <c:v>5.3333333333333332E-3</c:v>
                </c:pt>
                <c:pt idx="25">
                  <c:v>5.1282051282051282E-3</c:v>
                </c:pt>
                <c:pt idx="26">
                  <c:v>4.9382716049382715E-3</c:v>
                </c:pt>
                <c:pt idx="27">
                  <c:v>4.7619047619047623E-3</c:v>
                </c:pt>
                <c:pt idx="28">
                  <c:v>4.5977011494252873E-3</c:v>
                </c:pt>
                <c:pt idx="29">
                  <c:v>4.4444444444444444E-3</c:v>
                </c:pt>
                <c:pt idx="30">
                  <c:v>4.3010752688172043E-3</c:v>
                </c:pt>
                <c:pt idx="31">
                  <c:v>4.1666666666666666E-3</c:v>
                </c:pt>
                <c:pt idx="32">
                  <c:v>4.0404040404040404E-3</c:v>
                </c:pt>
              </c:numCache>
            </c:numRef>
          </c:cat>
          <c:val>
            <c:numRef>
              <c:f>Arkusz1!$E$110:$E$142</c:f>
              <c:numCache>
                <c:formatCode>General</c:formatCode>
                <c:ptCount val="33"/>
                <c:pt idx="0">
                  <c:v>1.1843186933582217E-3</c:v>
                </c:pt>
                <c:pt idx="1">
                  <c:v>2.9624193499167006E-4</c:v>
                </c:pt>
                <c:pt idx="2">
                  <c:v>1.3167649715573049E-4</c:v>
                </c:pt>
                <c:pt idx="3">
                  <c:v>7.4070673240278495E-5</c:v>
                </c:pt>
                <c:pt idx="4">
                  <c:v>4.7406014264339547E-5</c:v>
                </c:pt>
                <c:pt idx="5">
                  <c:v>3.2921138809705042E-5</c:v>
                </c:pt>
                <c:pt idx="6">
                  <c:v>2.4187090074789808E-5</c:v>
                </c:pt>
                <c:pt idx="7">
                  <c:v>1.8518305915371513E-5</c:v>
                </c:pt>
                <c:pt idx="8">
                  <c:v>1.4631783137986076E-5</c:v>
                </c:pt>
                <c:pt idx="9">
                  <c:v>1.1851764767811801E-5</c:v>
                </c:pt>
                <c:pt idx="10">
                  <c:v>9.7948594062202687E-6</c:v>
                </c:pt>
                <c:pt idx="11">
                  <c:v>8.2304106756581064E-6</c:v>
                </c:pt>
                <c:pt idx="12">
                  <c:v>7.012899598812794E-6</c:v>
                </c:pt>
                <c:pt idx="13">
                  <c:v>6.0468405171931749E-6</c:v>
                </c:pt>
                <c:pt idx="14">
                  <c:v>5.267472509729032E-6</c:v>
                </c:pt>
                <c:pt idx="15">
                  <c:v>4.6296163427328452E-6</c:v>
                </c:pt>
                <c:pt idx="16">
                  <c:v>4.1009763718236059E-6</c:v>
                </c:pt>
                <c:pt idx="17">
                  <c:v>3.6579706677031254E-6</c:v>
                </c:pt>
                <c:pt idx="18">
                  <c:v>3.2830547702644708E-6</c:v>
                </c:pt>
                <c:pt idx="19">
                  <c:v>2.9629575193368396E-6</c:v>
                </c:pt>
                <c:pt idx="20">
                  <c:v>2.6874902747664464E-6</c:v>
                </c:pt>
                <c:pt idx="21">
                  <c:v>2.4487260050776172E-6</c:v>
                </c:pt>
                <c:pt idx="22">
                  <c:v>2.2404225736849526E-6</c:v>
                </c:pt>
                <c:pt idx="23">
                  <c:v>2.057610543282351E-6</c:v>
                </c:pt>
                <c:pt idx="24">
                  <c:v>1.8962940675493201E-6</c:v>
                </c:pt>
                <c:pt idx="25">
                  <c:v>1.7532306149092847E-6</c:v>
                </c:pt>
                <c:pt idx="26">
                  <c:v>1.6257667914132412E-6</c:v>
                </c:pt>
                <c:pt idx="27">
                  <c:v>1.5117143830067903E-6</c:v>
                </c:pt>
                <c:pt idx="28">
                  <c:v>1.409255822260036E-6</c:v>
                </c:pt>
                <c:pt idx="29">
                  <c:v>1.3168713550726352E-6</c:v>
                </c:pt>
                <c:pt idx="30">
                  <c:v>1.2332822869609572E-6</c:v>
                </c:pt>
                <c:pt idx="31">
                  <c:v>1.1574065785779908E-6</c:v>
                </c:pt>
                <c:pt idx="32">
                  <c:v>1.0883235859182605E-6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E2-BD44-BC7E-95B65304787D}"/>
            </c:ext>
          </c:extLst>
        </c:ser>
        <c:ser>
          <c:idx val="1"/>
          <c:order val="1"/>
          <c:tx>
            <c:strRef>
              <c:f>Arkusz1!$G$109</c:f>
              <c:strCache>
                <c:ptCount val="1"/>
                <c:pt idx="0">
                  <c:v>błąd bezwzględny simpson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Arkusz1!$B$110:$B$142</c:f>
              <c:numCache>
                <c:formatCode>General</c:formatCode>
                <c:ptCount val="33"/>
                <c:pt idx="0">
                  <c:v>0.13333333333333333</c:v>
                </c:pt>
                <c:pt idx="1">
                  <c:v>6.6666666666666666E-2</c:v>
                </c:pt>
                <c:pt idx="2">
                  <c:v>4.4444444444444446E-2</c:v>
                </c:pt>
                <c:pt idx="3">
                  <c:v>3.3333333333333333E-2</c:v>
                </c:pt>
                <c:pt idx="4">
                  <c:v>2.6666666666666668E-2</c:v>
                </c:pt>
                <c:pt idx="5">
                  <c:v>2.2222222222222223E-2</c:v>
                </c:pt>
                <c:pt idx="6">
                  <c:v>1.9047619047619049E-2</c:v>
                </c:pt>
                <c:pt idx="7">
                  <c:v>1.6666666666666666E-2</c:v>
                </c:pt>
                <c:pt idx="8">
                  <c:v>1.4814814814814815E-2</c:v>
                </c:pt>
                <c:pt idx="9">
                  <c:v>1.3333333333333334E-2</c:v>
                </c:pt>
                <c:pt idx="10">
                  <c:v>1.2121212121212121E-2</c:v>
                </c:pt>
                <c:pt idx="11">
                  <c:v>1.1111111111111112E-2</c:v>
                </c:pt>
                <c:pt idx="12">
                  <c:v>1.0256410256410256E-2</c:v>
                </c:pt>
                <c:pt idx="13">
                  <c:v>9.5238095238095247E-3</c:v>
                </c:pt>
                <c:pt idx="14">
                  <c:v>8.8888888888888889E-3</c:v>
                </c:pt>
                <c:pt idx="15">
                  <c:v>8.3333333333333332E-3</c:v>
                </c:pt>
                <c:pt idx="16">
                  <c:v>7.8431372549019607E-3</c:v>
                </c:pt>
                <c:pt idx="17">
                  <c:v>7.4074074074074077E-3</c:v>
                </c:pt>
                <c:pt idx="18">
                  <c:v>7.0175438596491229E-3</c:v>
                </c:pt>
                <c:pt idx="19">
                  <c:v>6.6666666666666671E-3</c:v>
                </c:pt>
                <c:pt idx="20">
                  <c:v>6.3492063492063492E-3</c:v>
                </c:pt>
                <c:pt idx="21">
                  <c:v>6.0606060606060606E-3</c:v>
                </c:pt>
                <c:pt idx="22">
                  <c:v>5.7971014492753624E-3</c:v>
                </c:pt>
                <c:pt idx="23">
                  <c:v>5.5555555555555558E-3</c:v>
                </c:pt>
                <c:pt idx="24">
                  <c:v>5.3333333333333332E-3</c:v>
                </c:pt>
                <c:pt idx="25">
                  <c:v>5.1282051282051282E-3</c:v>
                </c:pt>
                <c:pt idx="26">
                  <c:v>4.9382716049382715E-3</c:v>
                </c:pt>
                <c:pt idx="27">
                  <c:v>4.7619047619047623E-3</c:v>
                </c:pt>
                <c:pt idx="28">
                  <c:v>4.5977011494252873E-3</c:v>
                </c:pt>
                <c:pt idx="29">
                  <c:v>4.4444444444444444E-3</c:v>
                </c:pt>
                <c:pt idx="30">
                  <c:v>4.3010752688172043E-3</c:v>
                </c:pt>
                <c:pt idx="31">
                  <c:v>4.1666666666666666E-3</c:v>
                </c:pt>
                <c:pt idx="32">
                  <c:v>4.0404040404040404E-3</c:v>
                </c:pt>
              </c:numCache>
            </c:numRef>
          </c:cat>
          <c:val>
            <c:numRef>
              <c:f>Arkusz1!$G$110:$G$142</c:f>
              <c:numCache>
                <c:formatCode>General</c:formatCode>
                <c:ptCount val="33"/>
                <c:pt idx="0">
                  <c:v>3.3989636589737415E-6</c:v>
                </c:pt>
                <c:pt idx="1">
                  <c:v>2.1634887037436101E-7</c:v>
                </c:pt>
                <c:pt idx="2">
                  <c:v>4.288544808161987E-8</c:v>
                </c:pt>
                <c:pt idx="3">
                  <c:v>1.3585990110698276E-8</c:v>
                </c:pt>
                <c:pt idx="4">
                  <c:v>5.5680118293821579E-9</c:v>
                </c:pt>
                <c:pt idx="5">
                  <c:v>2.6860291768571187E-9</c:v>
                </c:pt>
                <c:pt idx="6">
                  <c:v>1.4501226885954566E-9</c:v>
                </c:pt>
                <c:pt idx="7">
                  <c:v>8.5013951434120827E-10</c:v>
                </c:pt>
                <c:pt idx="8">
                  <c:v>5.3078164086173274E-10</c:v>
                </c:pt>
                <c:pt idx="9">
                  <c:v>3.4826630468387521E-10</c:v>
                </c:pt>
                <c:pt idx="10">
                  <c:v>2.3788171432670424E-10</c:v>
                </c:pt>
                <c:pt idx="11">
                  <c:v>1.6796608548474978E-10</c:v>
                </c:pt>
                <c:pt idx="12">
                  <c:v>1.2194956156008629E-10</c:v>
                </c:pt>
                <c:pt idx="13">
                  <c:v>9.0666141261408484E-11</c:v>
                </c:pt>
                <c:pt idx="14">
                  <c:v>6.8801853103650501E-11</c:v>
                </c:pt>
                <c:pt idx="15">
                  <c:v>5.3148596634855494E-11</c:v>
                </c:pt>
                <c:pt idx="16">
                  <c:v>4.1706194053858781E-11</c:v>
                </c:pt>
                <c:pt idx="17">
                  <c:v>3.3183233938416379E-11</c:v>
                </c:pt>
                <c:pt idx="18">
                  <c:v>2.6730617719294969E-11</c:v>
                </c:pt>
                <c:pt idx="19">
                  <c:v>2.177191760210917E-11</c:v>
                </c:pt>
                <c:pt idx="20">
                  <c:v>1.7911006011672725E-11</c:v>
                </c:pt>
                <c:pt idx="21">
                  <c:v>1.4869883102619497E-11</c:v>
                </c:pt>
                <c:pt idx="22">
                  <c:v>1.2447820552097255E-11</c:v>
                </c:pt>
                <c:pt idx="23">
                  <c:v>1.049649256401608E-11</c:v>
                </c:pt>
                <c:pt idx="24">
                  <c:v>8.9190876906286576E-12</c:v>
                </c:pt>
                <c:pt idx="25">
                  <c:v>7.6232353762861749E-12</c:v>
                </c:pt>
                <c:pt idx="26">
                  <c:v>6.552980380547524E-12</c:v>
                </c:pt>
                <c:pt idx="27">
                  <c:v>5.6656901392670989E-12</c:v>
                </c:pt>
                <c:pt idx="28">
                  <c:v>4.922284801978094E-12</c:v>
                </c:pt>
                <c:pt idx="29">
                  <c:v>4.3005599081880064E-12</c:v>
                </c:pt>
                <c:pt idx="30">
                  <c:v>3.7720937484664319E-12</c:v>
                </c:pt>
                <c:pt idx="31">
                  <c:v>3.3217872896784684E-12</c:v>
                </c:pt>
                <c:pt idx="32">
                  <c:v>2.9372060339483141E-12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E2-BD44-BC7E-95B65304787D}"/>
            </c:ext>
          </c:extLst>
        </c:ser>
        <c:ser>
          <c:idx val="2"/>
          <c:order val="2"/>
          <c:tx>
            <c:strRef>
              <c:f>Arkusz1!$I$109</c:f>
              <c:strCache>
                <c:ptCount val="1"/>
                <c:pt idx="0">
                  <c:v>błąd bezwzględny 3/8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Arkusz1!$B$110:$B$142</c:f>
              <c:numCache>
                <c:formatCode>General</c:formatCode>
                <c:ptCount val="33"/>
                <c:pt idx="0">
                  <c:v>0.13333333333333333</c:v>
                </c:pt>
                <c:pt idx="1">
                  <c:v>6.6666666666666666E-2</c:v>
                </c:pt>
                <c:pt idx="2">
                  <c:v>4.4444444444444446E-2</c:v>
                </c:pt>
                <c:pt idx="3">
                  <c:v>3.3333333333333333E-2</c:v>
                </c:pt>
                <c:pt idx="4">
                  <c:v>2.6666666666666668E-2</c:v>
                </c:pt>
                <c:pt idx="5">
                  <c:v>2.2222222222222223E-2</c:v>
                </c:pt>
                <c:pt idx="6">
                  <c:v>1.9047619047619049E-2</c:v>
                </c:pt>
                <c:pt idx="7">
                  <c:v>1.6666666666666666E-2</c:v>
                </c:pt>
                <c:pt idx="8">
                  <c:v>1.4814814814814815E-2</c:v>
                </c:pt>
                <c:pt idx="9">
                  <c:v>1.3333333333333334E-2</c:v>
                </c:pt>
                <c:pt idx="10">
                  <c:v>1.2121212121212121E-2</c:v>
                </c:pt>
                <c:pt idx="11">
                  <c:v>1.1111111111111112E-2</c:v>
                </c:pt>
                <c:pt idx="12">
                  <c:v>1.0256410256410256E-2</c:v>
                </c:pt>
                <c:pt idx="13">
                  <c:v>9.5238095238095247E-3</c:v>
                </c:pt>
                <c:pt idx="14">
                  <c:v>8.8888888888888889E-3</c:v>
                </c:pt>
                <c:pt idx="15">
                  <c:v>8.3333333333333332E-3</c:v>
                </c:pt>
                <c:pt idx="16">
                  <c:v>7.8431372549019607E-3</c:v>
                </c:pt>
                <c:pt idx="17">
                  <c:v>7.4074074074074077E-3</c:v>
                </c:pt>
                <c:pt idx="18">
                  <c:v>7.0175438596491229E-3</c:v>
                </c:pt>
                <c:pt idx="19">
                  <c:v>6.6666666666666671E-3</c:v>
                </c:pt>
                <c:pt idx="20">
                  <c:v>6.3492063492063492E-3</c:v>
                </c:pt>
                <c:pt idx="21">
                  <c:v>6.0606060606060606E-3</c:v>
                </c:pt>
                <c:pt idx="22">
                  <c:v>5.7971014492753624E-3</c:v>
                </c:pt>
                <c:pt idx="23">
                  <c:v>5.5555555555555558E-3</c:v>
                </c:pt>
                <c:pt idx="24">
                  <c:v>5.3333333333333332E-3</c:v>
                </c:pt>
                <c:pt idx="25">
                  <c:v>5.1282051282051282E-3</c:v>
                </c:pt>
                <c:pt idx="26">
                  <c:v>4.9382716049382715E-3</c:v>
                </c:pt>
                <c:pt idx="27">
                  <c:v>4.7619047619047623E-3</c:v>
                </c:pt>
                <c:pt idx="28">
                  <c:v>4.5977011494252873E-3</c:v>
                </c:pt>
                <c:pt idx="29">
                  <c:v>4.4444444444444444E-3</c:v>
                </c:pt>
                <c:pt idx="30">
                  <c:v>4.3010752688172043E-3</c:v>
                </c:pt>
                <c:pt idx="31">
                  <c:v>4.1666666666666666E-3</c:v>
                </c:pt>
                <c:pt idx="32">
                  <c:v>4.0404040404040404E-3</c:v>
                </c:pt>
              </c:numCache>
            </c:numRef>
          </c:cat>
          <c:val>
            <c:numRef>
              <c:f>Arkusz1!$I$110:$I$142</c:f>
              <c:numCache>
                <c:formatCode>General</c:formatCode>
                <c:ptCount val="33"/>
                <c:pt idx="0">
                  <c:v>7.4772056661842612E-6</c:v>
                </c:pt>
                <c:pt idx="1">
                  <c:v>4.8378803807480608E-7</c:v>
                </c:pt>
                <c:pt idx="2">
                  <c:v>9.6222630752151872E-8</c:v>
                </c:pt>
                <c:pt idx="3">
                  <c:v>3.0520066474082341E-8</c:v>
                </c:pt>
                <c:pt idx="4">
                  <c:v>1.2515284808500837E-8</c:v>
                </c:pt>
                <c:pt idx="5">
                  <c:v>6.0392881806592413E-9</c:v>
                </c:pt>
                <c:pt idx="6">
                  <c:v>3.2610802946919648E-9</c:v>
                </c:pt>
                <c:pt idx="7">
                  <c:v>1.9120518501836159E-9</c:v>
                </c:pt>
                <c:pt idx="8">
                  <c:v>1.1938849908688098E-9</c:v>
                </c:pt>
                <c:pt idx="9">
                  <c:v>7.8340089970652116E-10</c:v>
                </c:pt>
                <c:pt idx="10">
                  <c:v>5.3512128062038755E-10</c:v>
                </c:pt>
                <c:pt idx="11">
                  <c:v>3.7785685691460458E-10</c:v>
                </c:pt>
                <c:pt idx="12">
                  <c:v>2.7434676752591258E-10</c:v>
                </c:pt>
                <c:pt idx="13">
                  <c:v>2.0397550315465196E-10</c:v>
                </c:pt>
                <c:pt idx="14">
                  <c:v>1.5478907045007873E-10</c:v>
                </c:pt>
                <c:pt idx="15">
                  <c:v>1.1957457246580816E-10</c:v>
                </c:pt>
                <c:pt idx="16">
                  <c:v>9.382805643554093E-11</c:v>
                </c:pt>
                <c:pt idx="17">
                  <c:v>7.4653172532634926E-11</c:v>
                </c:pt>
                <c:pt idx="18">
                  <c:v>6.0135896262636379E-11</c:v>
                </c:pt>
                <c:pt idx="19">
                  <c:v>4.8980375311202806E-11</c:v>
                </c:pt>
                <c:pt idx="20">
                  <c:v>4.0295766723374982E-11</c:v>
                </c:pt>
                <c:pt idx="21">
                  <c:v>3.3455016534844617E-11</c:v>
                </c:pt>
                <c:pt idx="22">
                  <c:v>2.8005153751564649E-11</c:v>
                </c:pt>
                <c:pt idx="23">
                  <c:v>2.3621105071924831E-11</c:v>
                </c:pt>
                <c:pt idx="24">
                  <c:v>2.0063062322606129E-11</c:v>
                </c:pt>
                <c:pt idx="25">
                  <c:v>1.7150725284409418E-11</c:v>
                </c:pt>
                <c:pt idx="26">
                  <c:v>1.4748202659120579E-11</c:v>
                </c:pt>
                <c:pt idx="27">
                  <c:v>1.2749801214795298E-11</c:v>
                </c:pt>
                <c:pt idx="28">
                  <c:v>1.1081802142598463E-11</c:v>
                </c:pt>
                <c:pt idx="29">
                  <c:v>9.6758157042131643E-12</c:v>
                </c:pt>
                <c:pt idx="30">
                  <c:v>8.4865448002346966E-12</c:v>
                </c:pt>
                <c:pt idx="31">
                  <c:v>7.4740214017765538E-12</c:v>
                </c:pt>
                <c:pt idx="32">
                  <c:v>6.6071592641492316E-12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E2-BD44-BC7E-95B653047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6218752"/>
        <c:axId val="389060656"/>
      </c:lineChart>
      <c:catAx>
        <c:axId val="31621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89060656"/>
        <c:crosses val="autoZero"/>
        <c:auto val="1"/>
        <c:lblAlgn val="ctr"/>
        <c:lblOffset val="100"/>
        <c:noMultiLvlLbl val="0"/>
      </c:catAx>
      <c:valAx>
        <c:axId val="3890606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1621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95250</xdr:rowOff>
    </xdr:from>
    <xdr:to>
      <xdr:col>7</xdr:col>
      <xdr:colOff>558800</xdr:colOff>
      <xdr:row>33</xdr:row>
      <xdr:rowOff>101600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E23F2188-A1C5-B743-2FE6-08BB8FF75B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286068</xdr:colOff>
      <xdr:row>36</xdr:row>
      <xdr:rowOff>20269</xdr:rowOff>
    </xdr:from>
    <xdr:to>
      <xdr:col>19</xdr:col>
      <xdr:colOff>92927</xdr:colOff>
      <xdr:row>64</xdr:row>
      <xdr:rowOff>154878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118CDA3-BF55-9830-2F73-0B22C6B436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324554</xdr:colOff>
      <xdr:row>72</xdr:row>
      <xdr:rowOff>20268</xdr:rowOff>
    </xdr:from>
    <xdr:to>
      <xdr:col>19</xdr:col>
      <xdr:colOff>65689</xdr:colOff>
      <xdr:row>102</xdr:row>
      <xdr:rowOff>87588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13DC2B2A-945C-919C-AF25-7AA5C6517D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516978</xdr:colOff>
      <xdr:row>108</xdr:row>
      <xdr:rowOff>45924</xdr:rowOff>
    </xdr:from>
    <xdr:to>
      <xdr:col>19</xdr:col>
      <xdr:colOff>65689</xdr:colOff>
      <xdr:row>137</xdr:row>
      <xdr:rowOff>65689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B08CB325-E2A7-82E6-4C57-D3B2A8E799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30D38F-C1A6-8A4C-B4F3-03903E78FEFC}" name="Tabela1" displayName="Tabela1" ref="B5:M10" totalsRowShown="0">
  <autoFilter ref="B5:M10" xr:uid="{C330D38F-C1A6-8A4C-B4F3-03903E78FEFC}"/>
  <tableColumns count="12">
    <tableColumn id="1" xr3:uid="{D8A653F4-F41F-3B47-91FA-EC11AFA3FD80}" name="NAZWA"/>
    <tableColumn id="2" xr3:uid="{B7F59532-6360-8945-8C7B-F3AC84098498}" name="wartość całki "/>
    <tableColumn id="3" xr3:uid="{BE9FAFD1-455D-EE40-82DA-C3EAC1000F5B}" name="wzór trapezów"/>
    <tableColumn id="4" xr3:uid="{EC493E91-E6A8-2F4A-B79A-0FAB5E90C04D}" name="błąd bezwzględny" dataDxfId="17">
      <calculatedColumnFormula>ABS(C6-D6)</calculatedColumnFormula>
    </tableColumn>
    <tableColumn id="5" xr3:uid="{8F419323-D9A2-8F47-865E-8D9D6180322E}" name="wzór Simpsona"/>
    <tableColumn id="6" xr3:uid="{003B3073-A607-244F-BE4B-0CCF1F1F4413}" name="błąd bezwzględny4" dataDxfId="16">
      <calculatedColumnFormula>ABS(C6-F6)</calculatedColumnFormula>
    </tableColumn>
    <tableColumn id="7" xr3:uid="{51020D71-AA58-5B46-BEB0-51F3C9FA5D9E}" name="reguła 3/8"/>
    <tableColumn id="8" xr3:uid="{9E293E90-8385-F148-B149-1E1293C04AB4}" name="błąd bezwzględny5" dataDxfId="15">
      <calculatedColumnFormula>ABS(C6-H6)</calculatedColumnFormula>
    </tableColumn>
    <tableColumn id="9" xr3:uid="{FCEDFD96-B99D-F74F-891D-68D8A5E6B626}" name="wzór Boole'a" dataDxfId="14">
      <calculatedColumnFormula array="1">Bool_wielomian4(C1,C2)</calculatedColumnFormula>
    </tableColumn>
    <tableColumn id="10" xr3:uid="{DB90346E-9EC0-024F-98BD-5DEAB038CF73}" name="błąd bezwzględny3" dataDxfId="13">
      <calculatedColumnFormula>ABS(Tabela1[[#This Row],[wzór Boole''a]]-Tabela1[[#This Row],[wartość całki ]])</calculatedColumnFormula>
    </tableColumn>
    <tableColumn id="11" xr3:uid="{563A4F11-D56A-2442-BBC5-3E8CA126A829}" name="kwadratura 7-punktowa" dataDxfId="12">
      <calculatedColumnFormula array="1">siedmio_punktowa_liniowa(C1,C2)</calculatedColumnFormula>
    </tableColumn>
    <tableColumn id="12" xr3:uid="{05514E1C-BF11-6A42-ADBF-382C31A76AC1}" name="błąd bezwzględny2" dataDxfId="11">
      <calculatedColumnFormula>ABS(Tabela1[[#This Row],[kwadratura 7-punktowa]]-Tabela1[[#This Row],[wartość całki ]])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943C3D-892D-6C46-8CAE-8A80A637F6D9}" name="Tabela4" displayName="Tabela4" ref="A37:I70" totalsRowShown="0" headerRowDxfId="10">
  <autoFilter ref="A37:I70" xr:uid="{EC943C3D-892D-6C46-8CAE-8A80A637F6D9}"/>
  <tableColumns count="9">
    <tableColumn id="1" xr3:uid="{121A2D84-52E1-A340-B448-973430F33272}" name="N"/>
    <tableColumn id="2" xr3:uid="{C7EB07C9-2387-514F-844C-4F65C590ED12}" name="krok h">
      <calculatedColumnFormula>($C$2-$C$1)/A38</calculatedColumnFormula>
    </tableColumn>
    <tableColumn id="3" xr3:uid="{E15E886C-1959-7C4E-9812-707CB44459C8}" name="wartość całki ">
      <calculatedColumnFormula>464/3</calculatedColumnFormula>
    </tableColumn>
    <tableColumn id="4" xr3:uid="{739FA961-D36E-5A4A-9A98-75653A1D316D}" name="wzór trapezów">
      <calculatedColumnFormula array="1">calka_wielomian($C$1,$C$2,A38)</calculatedColumnFormula>
    </tableColumn>
    <tableColumn id="5" xr3:uid="{14BC0F26-D068-554D-A5B1-CA5F0916518D}" name="błąd bezwzględny trapez">
      <calculatedColumnFormula>ABS(C38-D38)</calculatedColumnFormula>
    </tableColumn>
    <tableColumn id="6" xr3:uid="{7A161AD5-017A-2849-A01E-A1139E246EEB}" name="wzór Simpsona">
      <calculatedColumnFormula array="1">simpson_wielomian($C$1,$C$2,A38)</calculatedColumnFormula>
    </tableColumn>
    <tableColumn id="7" xr3:uid="{93FB2218-6A24-7D4C-A026-6F698AF30C6F}" name="błąd bezwzględny simpson">
      <calculatedColumnFormula>ABS(C38-F38)</calculatedColumnFormula>
    </tableColumn>
    <tableColumn id="8" xr3:uid="{2CDD60B7-D509-504D-8FC9-81B606172753}" name="reguła 3/8">
      <calculatedColumnFormula array="1">simpson38_wielomian($C$1,$C$2,A38)</calculatedColumnFormula>
    </tableColumn>
    <tableColumn id="9" xr3:uid="{A1B41E63-958D-5841-9286-0B71B101C846}" name="błąd bezwzględny 3/8">
      <calculatedColumnFormula>ABS(C38-H38)</calculatedColumnFormula>
    </tableColumn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A5F714-8404-7548-BA18-6A0F4E8AF32B}" name="Tabela5" displayName="Tabela5" ref="A73:I106" totalsRowShown="0" headerRowDxfId="9" headerRowBorderDxfId="8" tableBorderDxfId="7">
  <autoFilter ref="A73:I106" xr:uid="{73A5F714-8404-7548-BA18-6A0F4E8AF32B}"/>
  <tableColumns count="9">
    <tableColumn id="1" xr3:uid="{E2CCB857-8EFF-E241-B9AE-FA5F37379269}" name="N" dataDxfId="6"/>
    <tableColumn id="2" xr3:uid="{C8A60731-F081-484E-B355-F0C2270724A4}" name="krok h" dataDxfId="5">
      <calculatedColumnFormula>($C$2-$C$1)/A74</calculatedColumnFormula>
    </tableColumn>
    <tableColumn id="3" xr3:uid="{B3E92AE1-402E-6D48-A254-181DC2E02623}" name="wartość całki ">
      <calculatedColumnFormula>COS(1)-COS(5)</calculatedColumnFormula>
    </tableColumn>
    <tableColumn id="4" xr3:uid="{482BDB9F-9815-E64F-B083-D5130BAA7A9F}" name="wzór trapezów">
      <calculatedColumnFormula array="1">calka_sinus($C$1,$C$2,A74)</calculatedColumnFormula>
    </tableColumn>
    <tableColumn id="5" xr3:uid="{5422A855-6224-B74B-ADFC-86888DB6DF5F}" name="błąd bezwzględny trapez">
      <calculatedColumnFormula>ABS(C74-D74)</calculatedColumnFormula>
    </tableColumn>
    <tableColumn id="6" xr3:uid="{59CEE96C-15C0-E345-9C82-BC9E14E3DA38}" name="wzór Simpsona">
      <calculatedColumnFormula array="1">simpson_sinus($C$1,$C$2,A74)</calculatedColumnFormula>
    </tableColumn>
    <tableColumn id="7" xr3:uid="{4EDB1F45-58A3-EF42-BAA5-41013A5FE38B}" name="błąd bezwzględny simpson">
      <calculatedColumnFormula>ABS(C74-F74)</calculatedColumnFormula>
    </tableColumn>
    <tableColumn id="8" xr3:uid="{8BA619D8-00A5-BC48-99F0-EE9CE60B6772}" name="reguła 3/8">
      <calculatedColumnFormula array="1">simpson38_sinus($C$1,$C$2,A74)</calculatedColumnFormula>
    </tableColumn>
    <tableColumn id="9" xr3:uid="{E8B50C18-56A1-CF42-BC9A-0F9A1294584C}" name="błąd bezwzględny 3/8">
      <calculatedColumnFormula>ABS(C74-H74)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9CAFF8-9507-574D-8040-5EB6527B6F67}" name="Tabela2" displayName="Tabela2" ref="A109:I142" totalsRowShown="0" headerRowDxfId="4" headerRowBorderDxfId="3" tableBorderDxfId="2">
  <autoFilter ref="A109:I142" xr:uid="{BB9CAFF8-9507-574D-8040-5EB6527B6F67}"/>
  <tableColumns count="9">
    <tableColumn id="1" xr3:uid="{8C4F474A-0B1D-914A-BC53-31D9ED42EDA7}" name="N" dataDxfId="1"/>
    <tableColumn id="2" xr3:uid="{9750E642-3596-8C4E-970B-A1D11740E4ED}" name="krok h" dataDxfId="0">
      <calculatedColumnFormula>($C$2-$C$1)/A110</calculatedColumnFormula>
    </tableColumn>
    <tableColumn id="3" xr3:uid="{49832B42-4102-D845-BF43-2738F8435602}" name="wartość całki ">
      <calculatedColumnFormula>5*LN(5)-4</calculatedColumnFormula>
    </tableColumn>
    <tableColumn id="4" xr3:uid="{3CDEEC11-F8B4-8E41-897E-E4DB56544BFF}" name="wzór trapezów">
      <calculatedColumnFormula array="1">calka_logarytm($C$1,$C$2,A110)</calculatedColumnFormula>
    </tableColumn>
    <tableColumn id="5" xr3:uid="{B095412F-3023-CD41-8871-59A47392CF9B}" name="błąd bezwzględny trapez">
      <calculatedColumnFormula>ABS(C110-D110)</calculatedColumnFormula>
    </tableColumn>
    <tableColumn id="6" xr3:uid="{D4EBD146-A6FB-C342-B189-FBF2A19F397F}" name="wzór Simpsona">
      <calculatedColumnFormula array="1">simpson_logarytm($C$1,$C$2,A110)</calculatedColumnFormula>
    </tableColumn>
    <tableColumn id="7" xr3:uid="{BB0E0ECD-C6E0-4049-9458-1B199589AE08}" name="błąd bezwzględny simpson">
      <calculatedColumnFormula>ABS(C110-F110)</calculatedColumnFormula>
    </tableColumn>
    <tableColumn id="8" xr3:uid="{AE330FE5-9B18-4547-8116-865DFD277B50}" name="reguła 3/8">
      <calculatedColumnFormula array="1">simpson38_logarytm($C$1,$C$2,A110)</calculatedColumnFormula>
    </tableColumn>
    <tableColumn id="9" xr3:uid="{AF40E9B2-895D-2347-91CD-0CD4F46B8775}" name="błąd bezwzględny 3/8">
      <calculatedColumnFormula>ABS(C110-H110)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Motyw pakietu Office 2013 — 2022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F5862-0FE2-E543-8260-44173E0C8B12}">
  <sheetPr codeName="Arkusz2"/>
  <dimension ref="A1:M142"/>
  <sheetViews>
    <sheetView tabSelected="1" zoomScale="82" workbookViewId="0">
      <selection activeCell="L32" sqref="L32"/>
    </sheetView>
  </sheetViews>
  <sheetFormatPr baseColWidth="10" defaultRowHeight="16" x14ac:dyDescent="0.2"/>
  <cols>
    <col min="2" max="2" width="13.33203125" bestFit="1" customWidth="1"/>
    <col min="3" max="3" width="14.83203125" customWidth="1"/>
    <col min="4" max="4" width="15.6640625" customWidth="1"/>
    <col min="5" max="5" width="18.1640625" customWidth="1"/>
    <col min="6" max="6" width="16" customWidth="1"/>
    <col min="7" max="7" width="19.1640625" customWidth="1"/>
    <col min="8" max="8" width="12.1640625" bestFit="1" customWidth="1"/>
    <col min="9" max="9" width="19.1640625" customWidth="1"/>
    <col min="10" max="10" width="14.33203125" bestFit="1" customWidth="1"/>
    <col min="11" max="11" width="18.5" bestFit="1" customWidth="1"/>
    <col min="12" max="12" width="23.6640625" bestFit="1" customWidth="1"/>
    <col min="13" max="13" width="19.6640625" bestFit="1" customWidth="1"/>
  </cols>
  <sheetData>
    <row r="1" spans="1:13" x14ac:dyDescent="0.2">
      <c r="B1" t="s">
        <v>0</v>
      </c>
      <c r="C1" s="1">
        <v>1</v>
      </c>
    </row>
    <row r="2" spans="1:13" x14ac:dyDescent="0.2">
      <c r="B2" t="s">
        <v>1</v>
      </c>
      <c r="C2" s="1">
        <v>5</v>
      </c>
    </row>
    <row r="3" spans="1:13" x14ac:dyDescent="0.2">
      <c r="B3" t="s">
        <v>2</v>
      </c>
      <c r="C3">
        <v>5</v>
      </c>
    </row>
    <row r="5" spans="1:13" x14ac:dyDescent="0.2">
      <c r="B5" t="s">
        <v>3</v>
      </c>
      <c r="C5" t="s">
        <v>4</v>
      </c>
      <c r="D5" t="s">
        <v>5</v>
      </c>
      <c r="E5" t="s">
        <v>14</v>
      </c>
      <c r="F5" t="s">
        <v>6</v>
      </c>
      <c r="G5" t="s">
        <v>18</v>
      </c>
      <c r="H5" t="s">
        <v>7</v>
      </c>
      <c r="I5" t="s">
        <v>19</v>
      </c>
      <c r="J5" t="s">
        <v>13</v>
      </c>
      <c r="K5" t="s">
        <v>17</v>
      </c>
      <c r="L5" t="s">
        <v>15</v>
      </c>
      <c r="M5" t="s">
        <v>16</v>
      </c>
    </row>
    <row r="6" spans="1:13" x14ac:dyDescent="0.2">
      <c r="A6">
        <v>1</v>
      </c>
      <c r="B6" t="s">
        <v>8</v>
      </c>
      <c r="C6">
        <f>16</f>
        <v>16</v>
      </c>
      <c r="D6" cm="1">
        <f t="array" ref="D6">calka_liniowa(C1,C2,C3)</f>
        <v>16</v>
      </c>
      <c r="E6">
        <f t="shared" ref="E6:E10" si="0">ABS(C6-D6)</f>
        <v>0</v>
      </c>
      <c r="F6" cm="1">
        <f t="array" ref="F6">simpson_liniowa(C1,C2,C3)</f>
        <v>14.506666666666666</v>
      </c>
      <c r="G6">
        <f t="shared" ref="G6:G10" si="1">ABS(C6-F6)</f>
        <v>1.4933333333333341</v>
      </c>
      <c r="H6" cm="1">
        <f t="array" ref="H6">simpson38_liniowa(C1,C2,C3)</f>
        <v>15.48</v>
      </c>
      <c r="I6">
        <f t="shared" ref="I6:I10" si="2">ABS(C6-H6)</f>
        <v>0.51999999999999957</v>
      </c>
      <c r="J6" cm="1">
        <f t="array" ref="J6">Bool_liniowa(C1,C2)</f>
        <v>12.629333333333333</v>
      </c>
      <c r="K6">
        <f>ABS(Tabela1[[#This Row],[wzór Boole''a]]-Tabela1[[#This Row],[wartość całki ]])</f>
        <v>3.3706666666666667</v>
      </c>
      <c r="L6" cm="1">
        <f t="array" ref="L6">siedmio_punktowa_liniowa(C1,C2)</f>
        <v>15.999999999999998</v>
      </c>
      <c r="M6">
        <f>ABS(Tabela1[[#This Row],[kwadratura 7-punktowa]]-Tabela1[[#This Row],[wartość całki ]])</f>
        <v>1.7763568394002505E-15</v>
      </c>
    </row>
    <row r="7" spans="1:13" x14ac:dyDescent="0.2">
      <c r="A7">
        <v>2</v>
      </c>
      <c r="B7" t="s">
        <v>9</v>
      </c>
      <c r="C7">
        <f>464/3</f>
        <v>154.66666666666666</v>
      </c>
      <c r="D7" cm="1">
        <f t="array" ref="D7">calka_wielomian(C1,C2,C3)</f>
        <v>155.52000000000001</v>
      </c>
      <c r="E7">
        <f t="shared" si="0"/>
        <v>0.85333333333335304</v>
      </c>
      <c r="F7" cm="1">
        <f t="array" ref="F7">simpson_wielomian(C1,C2,C3)</f>
        <v>136.53333333333333</v>
      </c>
      <c r="G7">
        <f t="shared" si="1"/>
        <v>18.133333333333326</v>
      </c>
      <c r="H7" cm="1">
        <f t="array" ref="H7">simpson38_wielomian(C1,C2,C3)</f>
        <v>148.82400000000004</v>
      </c>
      <c r="I7">
        <f t="shared" si="2"/>
        <v>5.8426666666666165</v>
      </c>
      <c r="J7" cm="1">
        <f t="array" ref="J7">Bool_wielomian2(C1,C2)</f>
        <v>122.97102222222223</v>
      </c>
      <c r="K7">
        <f>ABS(Tabela1[[#This Row],[wzór Boole''a]]-Tabela1[[#This Row],[wartość całki ]])</f>
        <v>31.695644444444426</v>
      </c>
      <c r="L7" cm="1">
        <f t="array" ref="L7">siedmio_punktowa_wielomian2(C1,C2)</f>
        <v>154.66666666666663</v>
      </c>
      <c r="M7">
        <f>ABS(Tabela1[[#This Row],[kwadratura 7-punktowa]]-Tabela1[[#This Row],[wartość całki ]])</f>
        <v>2.8421709430404007E-14</v>
      </c>
    </row>
    <row r="8" spans="1:13" x14ac:dyDescent="0.2">
      <c r="A8">
        <v>3</v>
      </c>
      <c r="B8" t="s">
        <v>10</v>
      </c>
      <c r="C8">
        <f>932/3</f>
        <v>310.66666666666669</v>
      </c>
      <c r="D8" cm="1">
        <f t="array" ref="D8">calka_wielomian3(C1,C2,C3)</f>
        <v>315.36000000000007</v>
      </c>
      <c r="E8">
        <f t="shared" si="0"/>
        <v>4.6933333333333849</v>
      </c>
      <c r="F8" cm="1">
        <f t="array" ref="F8">simpson_wielomian3(C1,C2,C3)</f>
        <v>267.16586666666666</v>
      </c>
      <c r="G8">
        <f t="shared" si="1"/>
        <v>43.500800000000027</v>
      </c>
      <c r="H8" cm="1">
        <f t="array" ref="H8">simpson38_wielomian3(C1,C2,C3)</f>
        <v>297.95280000000008</v>
      </c>
      <c r="I8">
        <f t="shared" si="2"/>
        <v>12.713866666666604</v>
      </c>
      <c r="J8" cm="1">
        <f t="array" ref="J8">Bool_wielomian3(C1,C2)</f>
        <v>252.7613155555556</v>
      </c>
      <c r="K8">
        <f>ABS(Tabela1[[#This Row],[wzór Boole''a]]-Tabela1[[#This Row],[wartość całki ]])</f>
        <v>57.905351111111088</v>
      </c>
      <c r="L8" cm="1">
        <f t="array" ref="L8">siedmio_punktowa_wielomian3(C1,C2)</f>
        <v>310.66666666666663</v>
      </c>
      <c r="M8">
        <f>ABS(Tabela1[[#This Row],[kwadratura 7-punktowa]]-Tabela1[[#This Row],[wartość całki ]])</f>
        <v>5.6843418860808015E-14</v>
      </c>
    </row>
    <row r="9" spans="1:13" x14ac:dyDescent="0.2">
      <c r="A9">
        <v>4</v>
      </c>
      <c r="B9" t="s">
        <v>11</v>
      </c>
      <c r="C9">
        <f>14032/15</f>
        <v>935.4666666666667</v>
      </c>
      <c r="D9" cm="1">
        <f t="array" ref="D9">calka_wielomian4(C1,C2,C3)</f>
        <v>966.55872000000022</v>
      </c>
      <c r="E9">
        <f t="shared" si="0"/>
        <v>31.092053333333524</v>
      </c>
      <c r="F9" cm="1">
        <f t="array" ref="F9">simpson_wielomian4(C1,C2,C3)</f>
        <v>778.16832000000022</v>
      </c>
      <c r="G9">
        <f t="shared" si="1"/>
        <v>157.29834666666648</v>
      </c>
      <c r="H9" cm="1">
        <f t="array" ref="H9">simpson38_wielomian4(C1,C2,C3)</f>
        <v>896.56128000000012</v>
      </c>
      <c r="I9">
        <f t="shared" si="2"/>
        <v>38.905386666666573</v>
      </c>
      <c r="J9" cm="1">
        <f t="array" ref="J9">Bool_wielomian4(C1,C2)</f>
        <v>794.04919466666672</v>
      </c>
      <c r="K9">
        <f>ABS(Tabela1[[#This Row],[wzór Boole''a]]-Tabela1[[#This Row],[wartość całki ]])</f>
        <v>141.41747199999998</v>
      </c>
      <c r="L9" cm="1">
        <f t="array" ref="L9">siedmio_punktowa_wielomian4(C1,C2)</f>
        <v>935.46666666666647</v>
      </c>
      <c r="M9">
        <f>ABS(Tabela1[[#This Row],[kwadratura 7-punktowa]]-Tabela1[[#This Row],[wartość całki ]])</f>
        <v>2.2737367544323206E-13</v>
      </c>
    </row>
    <row r="10" spans="1:13" x14ac:dyDescent="0.2">
      <c r="A10">
        <v>5</v>
      </c>
      <c r="B10" t="s">
        <v>12</v>
      </c>
      <c r="C10">
        <f>53092/15</f>
        <v>3539.4666666666667</v>
      </c>
      <c r="D10" cm="1">
        <f t="array" ref="D10">calka_wielomian5(C1,C2,C3)</f>
        <v>3736.1395200000006</v>
      </c>
      <c r="E10">
        <f t="shared" si="0"/>
        <v>196.67285333333393</v>
      </c>
      <c r="F10" cm="1">
        <f t="array" ref="F10">simpson_wielomian5(C1,C2,C3)</f>
        <v>2876.9554773333339</v>
      </c>
      <c r="G10">
        <f t="shared" si="1"/>
        <v>662.51118933333282</v>
      </c>
      <c r="H10" cm="1">
        <f t="array" ref="H10">simpson38_wielomian5(C1,C2,C3)</f>
        <v>3407.1334080000015</v>
      </c>
      <c r="I10">
        <f t="shared" si="2"/>
        <v>132.33325866666519</v>
      </c>
      <c r="J10" cm="1">
        <f t="array" ref="J10">Bool_wielomian5(C1,C2)</f>
        <v>3131.244612266667</v>
      </c>
      <c r="K10">
        <f>ABS(Tabela1[[#This Row],[wzór Boole''a]]-Tabela1[[#This Row],[wartość całki ]])</f>
        <v>408.22205439999971</v>
      </c>
      <c r="L10" cm="1">
        <f t="array" ref="L10">siedmio_punktowa_wielomian5(C1,C2)</f>
        <v>3539.4666666666658</v>
      </c>
      <c r="M10">
        <f>ABS(Tabela1[[#This Row],[kwadratura 7-punktowa]]-Tabela1[[#This Row],[wartość całki ]])</f>
        <v>9.0949470177292824E-13</v>
      </c>
    </row>
    <row r="36" spans="1:13" x14ac:dyDescent="0.2">
      <c r="A36" t="s">
        <v>21</v>
      </c>
      <c r="B36" t="s">
        <v>22</v>
      </c>
    </row>
    <row r="37" spans="1:13" x14ac:dyDescent="0.2">
      <c r="A37" s="7" t="s">
        <v>2</v>
      </c>
      <c r="B37" s="7" t="s">
        <v>20</v>
      </c>
      <c r="C37" s="2" t="s">
        <v>4</v>
      </c>
      <c r="D37" s="2" t="s">
        <v>5</v>
      </c>
      <c r="E37" s="2" t="s">
        <v>26</v>
      </c>
      <c r="F37" s="2" t="s">
        <v>6</v>
      </c>
      <c r="G37" s="2" t="s">
        <v>25</v>
      </c>
      <c r="H37" s="2" t="s">
        <v>7</v>
      </c>
      <c r="I37" s="2" t="s">
        <v>27</v>
      </c>
      <c r="K37" s="5"/>
      <c r="L37" s="5"/>
      <c r="M37" s="6"/>
    </row>
    <row r="38" spans="1:13" x14ac:dyDescent="0.2">
      <c r="A38">
        <v>30</v>
      </c>
      <c r="B38">
        <f>($C$2-$C$1)/A38</f>
        <v>0.13333333333333333</v>
      </c>
      <c r="C38">
        <f>464/3</f>
        <v>154.66666666666666</v>
      </c>
      <c r="D38" cm="1">
        <f t="array" ref="D38">calka_wielomian($C$1,$C$2,A38)</f>
        <v>154.69037037037032</v>
      </c>
      <c r="E38">
        <f>ABS(C38-D38)</f>
        <v>2.370370370366004E-2</v>
      </c>
      <c r="F38" cm="1">
        <f t="array" ref="F38">simpson_wielomian($C$1,$C$2,A38)</f>
        <v>154.66666666666669</v>
      </c>
      <c r="G38">
        <f>ABS(C38-F38)</f>
        <v>2.8421709430404007E-14</v>
      </c>
      <c r="H38" cm="1">
        <f t="array" ref="H38">simpson38_wielomian($C$1,$C$2,A38)</f>
        <v>154.66666666666669</v>
      </c>
      <c r="I38">
        <f>ABS(C38-H38)</f>
        <v>2.8421709430404007E-14</v>
      </c>
    </row>
    <row r="39" spans="1:13" x14ac:dyDescent="0.2">
      <c r="A39">
        <v>60</v>
      </c>
      <c r="B39">
        <f t="shared" ref="B39:B70" si="3">($C$2-$C$1)/A39</f>
        <v>6.6666666666666666E-2</v>
      </c>
      <c r="C39">
        <f t="shared" ref="C39:C70" si="4">464/3</f>
        <v>154.66666666666666</v>
      </c>
      <c r="D39" cm="1">
        <f t="array" ref="D39">calka_wielomian($C$1,$C$2,A39)</f>
        <v>154.67259259259257</v>
      </c>
      <c r="E39">
        <f t="shared" ref="E39:E70" si="5">ABS(C39-D39)</f>
        <v>5.9259259259079045E-3</v>
      </c>
      <c r="F39" cm="1">
        <f t="array" ref="F39">simpson_wielomian($C$1,$C$2,A39)</f>
        <v>154.66666666666669</v>
      </c>
      <c r="G39">
        <f t="shared" ref="G39:G70" si="6">ABS(C39-F39)</f>
        <v>2.8421709430404007E-14</v>
      </c>
      <c r="H39" cm="1">
        <f t="array" ref="H39">simpson38_wielomian($C$1,$C$2,A39)</f>
        <v>154.66666666666669</v>
      </c>
      <c r="I39">
        <f t="shared" ref="I39:I70" si="7">ABS(C39-H39)</f>
        <v>2.8421709430404007E-14</v>
      </c>
    </row>
    <row r="40" spans="1:13" x14ac:dyDescent="0.2">
      <c r="A40">
        <v>90</v>
      </c>
      <c r="B40">
        <f t="shared" si="3"/>
        <v>4.4444444444444446E-2</v>
      </c>
      <c r="C40">
        <f t="shared" si="4"/>
        <v>154.66666666666666</v>
      </c>
      <c r="D40" cm="1">
        <f t="array" ref="D40">calka_wielomian($C$1,$C$2,A40)</f>
        <v>154.66930041152267</v>
      </c>
      <c r="E40">
        <f t="shared" si="5"/>
        <v>2.6337448560127541E-3</v>
      </c>
      <c r="F40" cm="1">
        <f t="array" ref="F40">simpson_wielomian($C$1,$C$2,A40)</f>
        <v>154.66666666666669</v>
      </c>
      <c r="G40">
        <f t="shared" si="6"/>
        <v>2.8421709430404007E-14</v>
      </c>
      <c r="H40" cm="1">
        <f t="array" ref="H40">simpson38_wielomian($C$1,$C$2,A40)</f>
        <v>154.66666666666666</v>
      </c>
      <c r="I40">
        <f t="shared" si="7"/>
        <v>0</v>
      </c>
    </row>
    <row r="41" spans="1:13" x14ac:dyDescent="0.2">
      <c r="A41">
        <v>120</v>
      </c>
      <c r="B41">
        <f t="shared" si="3"/>
        <v>3.3333333333333333E-2</v>
      </c>
      <c r="C41">
        <f t="shared" si="4"/>
        <v>154.66666666666666</v>
      </c>
      <c r="D41" cm="1">
        <f t="array" ref="D41">calka_wielomian($C$1,$C$2,A41)</f>
        <v>154.66814814814819</v>
      </c>
      <c r="E41">
        <f t="shared" si="5"/>
        <v>1.4814814815338195E-3</v>
      </c>
      <c r="F41" cm="1">
        <f t="array" ref="F41">simpson_wielomian($C$1,$C$2,A41)</f>
        <v>154.66666666666669</v>
      </c>
      <c r="G41">
        <f t="shared" si="6"/>
        <v>2.8421709430404007E-14</v>
      </c>
      <c r="H41" cm="1">
        <f t="array" ref="H41">simpson38_wielomian($C$1,$C$2,A41)</f>
        <v>154.66666666666666</v>
      </c>
      <c r="I41">
        <f t="shared" si="7"/>
        <v>0</v>
      </c>
    </row>
    <row r="42" spans="1:13" x14ac:dyDescent="0.2">
      <c r="A42">
        <v>150</v>
      </c>
      <c r="B42">
        <f t="shared" si="3"/>
        <v>2.6666666666666668E-2</v>
      </c>
      <c r="C42">
        <f t="shared" si="4"/>
        <v>154.66666666666666</v>
      </c>
      <c r="D42" cm="1">
        <f t="array" ref="D42">calka_wielomian($C$1,$C$2,A42)</f>
        <v>154.66761481481484</v>
      </c>
      <c r="E42">
        <f t="shared" si="5"/>
        <v>9.4814814818278137E-4</v>
      </c>
      <c r="F42" cm="1">
        <f t="array" ref="F42">simpson_wielomian($C$1,$C$2,A42)</f>
        <v>154.66666666666666</v>
      </c>
      <c r="G42">
        <f t="shared" si="6"/>
        <v>0</v>
      </c>
      <c r="H42" cm="1">
        <f t="array" ref="H42">simpson38_wielomian($C$1,$C$2,A42)</f>
        <v>154.66666666666669</v>
      </c>
      <c r="I42">
        <f t="shared" si="7"/>
        <v>2.8421709430404007E-14</v>
      </c>
    </row>
    <row r="43" spans="1:13" x14ac:dyDescent="0.2">
      <c r="A43">
        <v>180</v>
      </c>
      <c r="B43">
        <f t="shared" si="3"/>
        <v>2.2222222222222223E-2</v>
      </c>
      <c r="C43">
        <f t="shared" si="4"/>
        <v>154.66666666666666</v>
      </c>
      <c r="D43" cm="1">
        <f t="array" ref="D43">calka_wielomian($C$1,$C$2,A43)</f>
        <v>154.66732510288068</v>
      </c>
      <c r="E43">
        <f t="shared" si="5"/>
        <v>6.5843621402450481E-4</v>
      </c>
      <c r="F43" cm="1">
        <f t="array" ref="F43">simpson_wielomian($C$1,$C$2,A43)</f>
        <v>154.66666666666669</v>
      </c>
      <c r="G43">
        <f t="shared" si="6"/>
        <v>2.8421709430404007E-14</v>
      </c>
      <c r="H43" cm="1">
        <f t="array" ref="H43">simpson38_wielomian($C$1,$C$2,A43)</f>
        <v>154.66666666666671</v>
      </c>
      <c r="I43">
        <f t="shared" si="7"/>
        <v>5.6843418860808015E-14</v>
      </c>
      <c r="K43" s="5"/>
    </row>
    <row r="44" spans="1:13" x14ac:dyDescent="0.2">
      <c r="A44">
        <v>210</v>
      </c>
      <c r="B44">
        <f t="shared" si="3"/>
        <v>1.9047619047619049E-2</v>
      </c>
      <c r="C44">
        <f t="shared" si="4"/>
        <v>154.66666666666666</v>
      </c>
      <c r="D44" cm="1">
        <f t="array" ref="D44">calka_wielomian($C$1,$C$2,A44)</f>
        <v>154.66715041572189</v>
      </c>
      <c r="E44">
        <f t="shared" si="5"/>
        <v>4.8374905523473899E-4</v>
      </c>
      <c r="F44" cm="1">
        <f t="array" ref="F44">simpson_wielomian($C$1,$C$2,A44)</f>
        <v>154.66666666666671</v>
      </c>
      <c r="G44">
        <f t="shared" si="6"/>
        <v>5.6843418860808015E-14</v>
      </c>
      <c r="H44" cm="1">
        <f t="array" ref="H44">simpson38_wielomian($C$1,$C$2,A44)</f>
        <v>154.66666666666669</v>
      </c>
      <c r="I44">
        <f t="shared" si="7"/>
        <v>2.8421709430404007E-14</v>
      </c>
    </row>
    <row r="45" spans="1:13" x14ac:dyDescent="0.2">
      <c r="A45">
        <v>240</v>
      </c>
      <c r="B45">
        <f t="shared" si="3"/>
        <v>1.6666666666666666E-2</v>
      </c>
      <c r="C45">
        <f t="shared" si="4"/>
        <v>154.66666666666666</v>
      </c>
      <c r="D45" cm="1">
        <f t="array" ref="D45">calka_wielomian($C$1,$C$2,A45)</f>
        <v>154.66703703703701</v>
      </c>
      <c r="E45">
        <f t="shared" si="5"/>
        <v>3.7037037034792775E-4</v>
      </c>
      <c r="F45" cm="1">
        <f t="array" ref="F45">simpson_wielomian($C$1,$C$2,A45)</f>
        <v>154.66666666666671</v>
      </c>
      <c r="G45">
        <f t="shared" si="6"/>
        <v>5.6843418860808015E-14</v>
      </c>
      <c r="H45" cm="1">
        <f t="array" ref="H45">simpson38_wielomian($C$1,$C$2,A45)</f>
        <v>154.66666666666669</v>
      </c>
      <c r="I45">
        <f t="shared" si="7"/>
        <v>2.8421709430404007E-14</v>
      </c>
    </row>
    <row r="46" spans="1:13" x14ac:dyDescent="0.2">
      <c r="A46">
        <v>270</v>
      </c>
      <c r="B46">
        <f t="shared" si="3"/>
        <v>1.4814814814814815E-2</v>
      </c>
      <c r="C46">
        <f t="shared" si="4"/>
        <v>154.66666666666666</v>
      </c>
      <c r="D46" cm="1">
        <f t="array" ref="D46">calka_wielomian($C$1,$C$2,A46)</f>
        <v>154.66695930498398</v>
      </c>
      <c r="E46">
        <f t="shared" si="5"/>
        <v>2.9263831731896062E-4</v>
      </c>
      <c r="F46" cm="1">
        <f t="array" ref="F46">simpson_wielomian($C$1,$C$2,A46)</f>
        <v>154.66666666666663</v>
      </c>
      <c r="G46">
        <f t="shared" si="6"/>
        <v>2.8421709430404007E-14</v>
      </c>
      <c r="H46" cm="1">
        <f t="array" ref="H46">simpson38_wielomian($C$1,$C$2,A46)</f>
        <v>154.66666666666669</v>
      </c>
      <c r="I46">
        <f t="shared" si="7"/>
        <v>2.8421709430404007E-14</v>
      </c>
    </row>
    <row r="47" spans="1:13" x14ac:dyDescent="0.2">
      <c r="A47">
        <v>300</v>
      </c>
      <c r="B47">
        <f t="shared" si="3"/>
        <v>1.3333333333333334E-2</v>
      </c>
      <c r="C47">
        <f t="shared" si="4"/>
        <v>154.66666666666666</v>
      </c>
      <c r="D47" cm="1">
        <f t="array" ref="D47">calka_wielomian($C$1,$C$2,A47)</f>
        <v>154.66690370370378</v>
      </c>
      <c r="E47">
        <f t="shared" si="5"/>
        <v>2.3703703712385504E-4</v>
      </c>
      <c r="F47" cm="1">
        <f t="array" ref="F47">simpson_wielomian($C$1,$C$2,A47)</f>
        <v>154.66666666666666</v>
      </c>
      <c r="G47">
        <f t="shared" si="6"/>
        <v>0</v>
      </c>
      <c r="H47" cm="1">
        <f t="array" ref="H47">simpson38_wielomian($C$1,$C$2,A47)</f>
        <v>154.66666666666663</v>
      </c>
      <c r="I47">
        <f t="shared" si="7"/>
        <v>2.8421709430404007E-14</v>
      </c>
    </row>
    <row r="48" spans="1:13" x14ac:dyDescent="0.2">
      <c r="A48">
        <v>330</v>
      </c>
      <c r="B48">
        <f t="shared" si="3"/>
        <v>1.2121212121212121E-2</v>
      </c>
      <c r="C48">
        <f t="shared" si="4"/>
        <v>154.66666666666666</v>
      </c>
      <c r="D48" cm="1">
        <f t="array" ref="D48">calka_wielomian($C$1,$C$2,A48)</f>
        <v>154.66686256504445</v>
      </c>
      <c r="E48">
        <f t="shared" si="5"/>
        <v>1.95898377796766E-4</v>
      </c>
      <c r="F48" cm="1">
        <f t="array" ref="F48">simpson_wielomian($C$1,$C$2,A48)</f>
        <v>154.66666666666666</v>
      </c>
      <c r="G48">
        <f t="shared" si="6"/>
        <v>0</v>
      </c>
      <c r="H48" cm="1">
        <f t="array" ref="H48">simpson38_wielomian($C$1,$C$2,A48)</f>
        <v>154.66666666666669</v>
      </c>
      <c r="I48">
        <f t="shared" si="7"/>
        <v>2.8421709430404007E-14</v>
      </c>
    </row>
    <row r="49" spans="1:9" x14ac:dyDescent="0.2">
      <c r="A49">
        <v>360</v>
      </c>
      <c r="B49">
        <f t="shared" si="3"/>
        <v>1.1111111111111112E-2</v>
      </c>
      <c r="C49">
        <f t="shared" si="4"/>
        <v>154.66666666666666</v>
      </c>
      <c r="D49" cm="1">
        <f t="array" ref="D49">calka_wielomian($C$1,$C$2,A49)</f>
        <v>154.6668312757202</v>
      </c>
      <c r="E49">
        <f t="shared" si="5"/>
        <v>1.6460905354165334E-4</v>
      </c>
      <c r="F49" cm="1">
        <f t="array" ref="F49">simpson_wielomian($C$1,$C$2,A49)</f>
        <v>154.66666666666669</v>
      </c>
      <c r="G49">
        <f t="shared" si="6"/>
        <v>2.8421709430404007E-14</v>
      </c>
      <c r="H49" cm="1">
        <f t="array" ref="H49">simpson38_wielomian($C$1,$C$2,A49)</f>
        <v>154.66666666666666</v>
      </c>
      <c r="I49">
        <f t="shared" si="7"/>
        <v>0</v>
      </c>
    </row>
    <row r="50" spans="1:9" x14ac:dyDescent="0.2">
      <c r="A50">
        <v>390</v>
      </c>
      <c r="B50">
        <f t="shared" si="3"/>
        <v>1.0256410256410256E-2</v>
      </c>
      <c r="C50">
        <f t="shared" si="4"/>
        <v>154.66666666666666</v>
      </c>
      <c r="D50" cm="1">
        <f t="array" ref="D50">calka_wielomian($C$1,$C$2,A50)</f>
        <v>154.66680692526856</v>
      </c>
      <c r="E50">
        <f t="shared" si="5"/>
        <v>1.4025860190258754E-4</v>
      </c>
      <c r="F50" cm="1">
        <f t="array" ref="F50">simpson_wielomian($C$1,$C$2,A50)</f>
        <v>154.66666666666663</v>
      </c>
      <c r="G50">
        <f t="shared" si="6"/>
        <v>2.8421709430404007E-14</v>
      </c>
      <c r="H50" cm="1">
        <f t="array" ref="H50">simpson38_wielomian($C$1,$C$2,A50)</f>
        <v>154.66666666666666</v>
      </c>
      <c r="I50">
        <f t="shared" si="7"/>
        <v>0</v>
      </c>
    </row>
    <row r="51" spans="1:9" x14ac:dyDescent="0.2">
      <c r="A51">
        <v>420</v>
      </c>
      <c r="B51">
        <f t="shared" si="3"/>
        <v>9.5238095238095247E-3</v>
      </c>
      <c r="C51">
        <f t="shared" si="4"/>
        <v>154.66666666666666</v>
      </c>
      <c r="D51" cm="1">
        <f t="array" ref="D51">calka_wielomian($C$1,$C$2,A51)</f>
        <v>154.66678760393049</v>
      </c>
      <c r="E51">
        <f t="shared" si="5"/>
        <v>1.2093726383000103E-4</v>
      </c>
      <c r="F51" cm="1">
        <f t="array" ref="F51">simpson_wielomian($C$1,$C$2,A51)</f>
        <v>154.66666666666669</v>
      </c>
      <c r="G51">
        <f t="shared" si="6"/>
        <v>2.8421709430404007E-14</v>
      </c>
      <c r="H51" cm="1">
        <f t="array" ref="H51">simpson38_wielomian($C$1,$C$2,A51)</f>
        <v>154.66666666666669</v>
      </c>
      <c r="I51">
        <f t="shared" si="7"/>
        <v>2.8421709430404007E-14</v>
      </c>
    </row>
    <row r="52" spans="1:9" x14ac:dyDescent="0.2">
      <c r="A52">
        <v>450</v>
      </c>
      <c r="B52">
        <f t="shared" si="3"/>
        <v>8.8888888888888889E-3</v>
      </c>
      <c r="C52">
        <f t="shared" si="4"/>
        <v>154.66666666666666</v>
      </c>
      <c r="D52" cm="1">
        <f t="array" ref="D52">calka_wielomian($C$1,$C$2,A52)</f>
        <v>154.66677201646104</v>
      </c>
      <c r="E52">
        <f t="shared" si="5"/>
        <v>1.0534979438148184E-4</v>
      </c>
      <c r="F52" cm="1">
        <f t="array" ref="F52">simpson_wielomian($C$1,$C$2,A52)</f>
        <v>154.66666666666671</v>
      </c>
      <c r="G52">
        <f t="shared" si="6"/>
        <v>5.6843418860808015E-14</v>
      </c>
      <c r="H52" cm="1">
        <f t="array" ref="H52">simpson38_wielomian($C$1,$C$2,A52)</f>
        <v>154.66666666666666</v>
      </c>
      <c r="I52">
        <f t="shared" si="7"/>
        <v>0</v>
      </c>
    </row>
    <row r="53" spans="1:9" x14ac:dyDescent="0.2">
      <c r="A53">
        <v>480</v>
      </c>
      <c r="B53">
        <f t="shared" si="3"/>
        <v>8.3333333333333332E-3</v>
      </c>
      <c r="C53">
        <f t="shared" si="4"/>
        <v>154.66666666666666</v>
      </c>
      <c r="D53" cm="1">
        <f t="array" ref="D53">calka_wielomian($C$1,$C$2,A53)</f>
        <v>154.66675925925924</v>
      </c>
      <c r="E53">
        <f t="shared" si="5"/>
        <v>9.2592592579876509E-5</v>
      </c>
      <c r="F53" cm="1">
        <f t="array" ref="F53">simpson_wielomian($C$1,$C$2,A53)</f>
        <v>154.6666666666666</v>
      </c>
      <c r="G53">
        <f t="shared" si="6"/>
        <v>5.6843418860808015E-14</v>
      </c>
      <c r="H53" cm="1">
        <f t="array" ref="H53">simpson38_wielomian($C$1,$C$2,A53)</f>
        <v>154.66666666666666</v>
      </c>
      <c r="I53">
        <f t="shared" si="7"/>
        <v>0</v>
      </c>
    </row>
    <row r="54" spans="1:9" x14ac:dyDescent="0.2">
      <c r="A54">
        <v>510</v>
      </c>
      <c r="B54">
        <f t="shared" si="3"/>
        <v>7.8431372549019607E-3</v>
      </c>
      <c r="C54">
        <f t="shared" si="4"/>
        <v>154.66666666666666</v>
      </c>
      <c r="D54" cm="1">
        <f t="array" ref="D54">calka_wielomian($C$1,$C$2,A54)</f>
        <v>154.66674868640266</v>
      </c>
      <c r="E54">
        <f t="shared" si="5"/>
        <v>8.2019735998528631E-5</v>
      </c>
      <c r="F54" cm="1">
        <f t="array" ref="F54">simpson_wielomian($C$1,$C$2,A54)</f>
        <v>154.66666666666669</v>
      </c>
      <c r="G54">
        <f t="shared" si="6"/>
        <v>2.8421709430404007E-14</v>
      </c>
      <c r="H54" cm="1">
        <f t="array" ref="H54">simpson38_wielomian($C$1,$C$2,A54)</f>
        <v>154.66666666666663</v>
      </c>
      <c r="I54">
        <f t="shared" si="7"/>
        <v>2.8421709430404007E-14</v>
      </c>
    </row>
    <row r="55" spans="1:9" x14ac:dyDescent="0.2">
      <c r="A55">
        <v>540</v>
      </c>
      <c r="B55">
        <f t="shared" si="3"/>
        <v>7.4074074074074077E-3</v>
      </c>
      <c r="C55">
        <f t="shared" si="4"/>
        <v>154.66666666666666</v>
      </c>
      <c r="D55" cm="1">
        <f t="array" ref="D55">calka_wielomian($C$1,$C$2,A55)</f>
        <v>154.66673982624607</v>
      </c>
      <c r="E55">
        <f t="shared" si="5"/>
        <v>7.3159579415005282E-5</v>
      </c>
      <c r="F55" cm="1">
        <f t="array" ref="F55">simpson_wielomian($C$1,$C$2,A55)</f>
        <v>154.66666666666669</v>
      </c>
      <c r="G55">
        <f t="shared" si="6"/>
        <v>2.8421709430404007E-14</v>
      </c>
      <c r="H55" cm="1">
        <f t="array" ref="H55">simpson38_wielomian($C$1,$C$2,A55)</f>
        <v>154.66666666666666</v>
      </c>
      <c r="I55">
        <f t="shared" si="7"/>
        <v>0</v>
      </c>
    </row>
    <row r="56" spans="1:9" x14ac:dyDescent="0.2">
      <c r="A56">
        <v>570</v>
      </c>
      <c r="B56">
        <f t="shared" si="3"/>
        <v>7.0175438596491229E-3</v>
      </c>
      <c r="C56">
        <f t="shared" si="4"/>
        <v>154.66666666666666</v>
      </c>
      <c r="D56" cm="1">
        <f t="array" ref="D56">calka_wielomian($C$1,$C$2,A56)</f>
        <v>154.66673232789569</v>
      </c>
      <c r="E56">
        <f t="shared" si="5"/>
        <v>6.5661229029956303E-5</v>
      </c>
      <c r="F56" cm="1">
        <f t="array" ref="F56">simpson_wielomian($C$1,$C$2,A56)</f>
        <v>154.66666666666663</v>
      </c>
      <c r="G56">
        <f t="shared" si="6"/>
        <v>2.8421709430404007E-14</v>
      </c>
      <c r="H56" cm="1">
        <f t="array" ref="H56">simpson38_wielomian($C$1,$C$2,A56)</f>
        <v>154.66666666666669</v>
      </c>
      <c r="I56">
        <f t="shared" si="7"/>
        <v>2.8421709430404007E-14</v>
      </c>
    </row>
    <row r="57" spans="1:9" x14ac:dyDescent="0.2">
      <c r="A57">
        <v>600</v>
      </c>
      <c r="B57">
        <f t="shared" si="3"/>
        <v>6.6666666666666671E-3</v>
      </c>
      <c r="C57">
        <f t="shared" si="4"/>
        <v>154.66666666666666</v>
      </c>
      <c r="D57" cm="1">
        <f t="array" ref="D57">calka_wielomian($C$1,$C$2,A57)</f>
        <v>154.66672592592604</v>
      </c>
      <c r="E57">
        <f t="shared" si="5"/>
        <v>5.9259259387545171E-5</v>
      </c>
      <c r="F57" cm="1">
        <f t="array" ref="F57">simpson_wielomian($C$1,$C$2,A57)</f>
        <v>154.66666666666666</v>
      </c>
      <c r="G57">
        <f t="shared" si="6"/>
        <v>0</v>
      </c>
      <c r="H57" cm="1">
        <f t="array" ref="H57">simpson38_wielomian($C$1,$C$2,A57)</f>
        <v>154.66666666666669</v>
      </c>
      <c r="I57">
        <f t="shared" si="7"/>
        <v>2.8421709430404007E-14</v>
      </c>
    </row>
    <row r="58" spans="1:9" x14ac:dyDescent="0.2">
      <c r="A58">
        <v>630</v>
      </c>
      <c r="B58">
        <f t="shared" si="3"/>
        <v>6.3492063492063492E-3</v>
      </c>
      <c r="C58">
        <f t="shared" si="4"/>
        <v>154.66666666666666</v>
      </c>
      <c r="D58" cm="1">
        <f t="array" ref="D58">calka_wielomian($C$1,$C$2,A58)</f>
        <v>154.66672041656179</v>
      </c>
      <c r="E58">
        <f t="shared" si="5"/>
        <v>5.3749895130295045E-5</v>
      </c>
      <c r="F58" cm="1">
        <f t="array" ref="F58">simpson_wielomian($C$1,$C$2,A58)</f>
        <v>154.66666666666671</v>
      </c>
      <c r="G58">
        <f t="shared" si="6"/>
        <v>5.6843418860808015E-14</v>
      </c>
      <c r="H58" cm="1">
        <f t="array" ref="H58">simpson38_wielomian($C$1,$C$2,A58)</f>
        <v>154.66666666666669</v>
      </c>
      <c r="I58">
        <f t="shared" si="7"/>
        <v>2.8421709430404007E-14</v>
      </c>
    </row>
    <row r="59" spans="1:9" x14ac:dyDescent="0.2">
      <c r="A59">
        <v>660</v>
      </c>
      <c r="B59">
        <f t="shared" si="3"/>
        <v>6.0606060606060606E-3</v>
      </c>
      <c r="C59">
        <f t="shared" si="4"/>
        <v>154.66666666666666</v>
      </c>
      <c r="D59" cm="1">
        <f t="array" ref="D59">calka_wielomian($C$1,$C$2,A59)</f>
        <v>154.66671564126111</v>
      </c>
      <c r="E59">
        <f t="shared" si="5"/>
        <v>4.89745944491915E-5</v>
      </c>
      <c r="F59" cm="1">
        <f t="array" ref="F59">simpson_wielomian($C$1,$C$2,A59)</f>
        <v>154.66666666666671</v>
      </c>
      <c r="G59">
        <f t="shared" si="6"/>
        <v>5.6843418860808015E-14</v>
      </c>
      <c r="H59" cm="1">
        <f t="array" ref="H59">simpson38_wielomian($C$1,$C$2,A59)</f>
        <v>154.66666666666663</v>
      </c>
      <c r="I59">
        <f t="shared" si="7"/>
        <v>2.8421709430404007E-14</v>
      </c>
    </row>
    <row r="60" spans="1:9" x14ac:dyDescent="0.2">
      <c r="A60">
        <v>690</v>
      </c>
      <c r="B60">
        <f t="shared" si="3"/>
        <v>5.7971014492753624E-3</v>
      </c>
      <c r="C60">
        <f t="shared" si="4"/>
        <v>154.66666666666666</v>
      </c>
      <c r="D60" cm="1">
        <f t="array" ref="D60">calka_wielomian($C$1,$C$2,A60)</f>
        <v>154.66671147518048</v>
      </c>
      <c r="E60">
        <f t="shared" si="5"/>
        <v>4.4808513820271401E-5</v>
      </c>
      <c r="F60" cm="1">
        <f t="array" ref="F60">simpson_wielomian($C$1,$C$2,A60)</f>
        <v>154.66666666666669</v>
      </c>
      <c r="G60">
        <f t="shared" si="6"/>
        <v>2.8421709430404007E-14</v>
      </c>
      <c r="H60" cm="1">
        <f t="array" ref="H60">simpson38_wielomian($C$1,$C$2,A60)</f>
        <v>154.66666666666657</v>
      </c>
      <c r="I60">
        <f t="shared" si="7"/>
        <v>8.5265128291212022E-14</v>
      </c>
    </row>
    <row r="61" spans="1:9" x14ac:dyDescent="0.2">
      <c r="A61">
        <v>720</v>
      </c>
      <c r="B61">
        <f t="shared" si="3"/>
        <v>5.5555555555555558E-3</v>
      </c>
      <c r="C61">
        <f t="shared" si="4"/>
        <v>154.66666666666666</v>
      </c>
      <c r="D61" cm="1">
        <f t="array" ref="D61">calka_wielomian($C$1,$C$2,A61)</f>
        <v>154.66670781892998</v>
      </c>
      <c r="E61">
        <f t="shared" si="5"/>
        <v>4.1152263321464488E-5</v>
      </c>
      <c r="F61" cm="1">
        <f t="array" ref="F61">simpson_wielomian($C$1,$C$2,A61)</f>
        <v>154.66666666666666</v>
      </c>
      <c r="G61">
        <f t="shared" si="6"/>
        <v>0</v>
      </c>
      <c r="H61" cm="1">
        <f t="array" ref="H61">simpson38_wielomian($C$1,$C$2,A61)</f>
        <v>154.66666666666669</v>
      </c>
      <c r="I61">
        <f t="shared" si="7"/>
        <v>2.8421709430404007E-14</v>
      </c>
    </row>
    <row r="62" spans="1:9" x14ac:dyDescent="0.2">
      <c r="A62">
        <v>750</v>
      </c>
      <c r="B62">
        <f t="shared" si="3"/>
        <v>5.3333333333333332E-3</v>
      </c>
      <c r="C62">
        <f t="shared" si="4"/>
        <v>154.66666666666666</v>
      </c>
      <c r="D62" cm="1">
        <f t="array" ref="D62">calka_wielomian($C$1,$C$2,A62)</f>
        <v>154.66670459259259</v>
      </c>
      <c r="E62">
        <f t="shared" si="5"/>
        <v>3.792592593754307E-5</v>
      </c>
      <c r="F62" cm="1">
        <f t="array" ref="F62">simpson_wielomian($C$1,$C$2,A62)</f>
        <v>154.66666666666663</v>
      </c>
      <c r="G62">
        <f t="shared" si="6"/>
        <v>2.8421709430404007E-14</v>
      </c>
      <c r="H62" cm="1">
        <f t="array" ref="H62">simpson38_wielomian($C$1,$C$2,A62)</f>
        <v>154.66666666666663</v>
      </c>
      <c r="I62">
        <f t="shared" si="7"/>
        <v>2.8421709430404007E-14</v>
      </c>
    </row>
    <row r="63" spans="1:9" x14ac:dyDescent="0.2">
      <c r="A63">
        <v>780</v>
      </c>
      <c r="B63">
        <f t="shared" si="3"/>
        <v>5.1282051282051282E-3</v>
      </c>
      <c r="C63">
        <f t="shared" si="4"/>
        <v>154.66666666666666</v>
      </c>
      <c r="D63" cm="1">
        <f t="array" ref="D63">calka_wielomian($C$1,$C$2,A63)</f>
        <v>154.66670173131723</v>
      </c>
      <c r="E63">
        <f t="shared" si="5"/>
        <v>3.5064650575122869E-5</v>
      </c>
      <c r="F63" cm="1">
        <f t="array" ref="F63">simpson_wielomian($C$1,$C$2,A63)</f>
        <v>154.66666666666669</v>
      </c>
      <c r="G63">
        <f t="shared" si="6"/>
        <v>2.8421709430404007E-14</v>
      </c>
      <c r="H63" cm="1">
        <f t="array" ref="H63">simpson38_wielomian($C$1,$C$2,A63)</f>
        <v>154.66666666666669</v>
      </c>
      <c r="I63">
        <f t="shared" si="7"/>
        <v>2.8421709430404007E-14</v>
      </c>
    </row>
    <row r="64" spans="1:9" x14ac:dyDescent="0.2">
      <c r="A64">
        <v>810</v>
      </c>
      <c r="B64">
        <f t="shared" si="3"/>
        <v>4.9382716049382715E-3</v>
      </c>
      <c r="C64">
        <f t="shared" si="4"/>
        <v>154.66666666666666</v>
      </c>
      <c r="D64" cm="1">
        <f t="array" ref="D64">calka_wielomian($C$1,$C$2,A64)</f>
        <v>154.66669918203522</v>
      </c>
      <c r="E64">
        <f t="shared" si="5"/>
        <v>3.2515368559415947E-5</v>
      </c>
      <c r="F64" cm="1">
        <f t="array" ref="F64">simpson_wielomian($C$1,$C$2,A64)</f>
        <v>154.66666666666663</v>
      </c>
      <c r="G64">
        <f t="shared" si="6"/>
        <v>2.8421709430404007E-14</v>
      </c>
      <c r="H64" cm="1">
        <f t="array" ref="H64">simpson38_wielomian($C$1,$C$2,A64)</f>
        <v>154.66666666666663</v>
      </c>
      <c r="I64">
        <f t="shared" si="7"/>
        <v>2.8421709430404007E-14</v>
      </c>
    </row>
    <row r="65" spans="1:9" x14ac:dyDescent="0.2">
      <c r="A65">
        <v>840</v>
      </c>
      <c r="B65">
        <f t="shared" si="3"/>
        <v>4.7619047619047623E-3</v>
      </c>
      <c r="C65">
        <f t="shared" si="4"/>
        <v>154.66666666666666</v>
      </c>
      <c r="D65" cm="1">
        <f t="array" ref="D65">calka_wielomian($C$1,$C$2,A65)</f>
        <v>154.6666969009826</v>
      </c>
      <c r="E65">
        <f t="shared" si="5"/>
        <v>3.0234315943289403E-5</v>
      </c>
      <c r="F65" cm="1">
        <f t="array" ref="F65">simpson_wielomian($C$1,$C$2,A65)</f>
        <v>154.66666666666666</v>
      </c>
      <c r="G65">
        <f t="shared" si="6"/>
        <v>0</v>
      </c>
      <c r="H65" cm="1">
        <f t="array" ref="H65">simpson38_wielomian($C$1,$C$2,A65)</f>
        <v>154.66666666666674</v>
      </c>
      <c r="I65">
        <f t="shared" si="7"/>
        <v>8.5265128291212022E-14</v>
      </c>
    </row>
    <row r="66" spans="1:9" x14ac:dyDescent="0.2">
      <c r="A66">
        <v>870</v>
      </c>
      <c r="B66">
        <f t="shared" si="3"/>
        <v>4.5977011494252873E-3</v>
      </c>
      <c r="C66">
        <f t="shared" si="4"/>
        <v>154.66666666666666</v>
      </c>
      <c r="D66" cm="1">
        <f t="array" ref="D66">calka_wielomian($C$1,$C$2,A66)</f>
        <v>154.66669485180779</v>
      </c>
      <c r="E66">
        <f t="shared" si="5"/>
        <v>2.8185141133008074E-5</v>
      </c>
      <c r="F66" cm="1">
        <f t="array" ref="F66">simpson_wielomian($C$1,$C$2,A66)</f>
        <v>154.66666666666663</v>
      </c>
      <c r="G66">
        <f t="shared" si="6"/>
        <v>2.8421709430404007E-14</v>
      </c>
      <c r="H66" cm="1">
        <f t="array" ref="H66">simpson38_wielomian($C$1,$C$2,A66)</f>
        <v>154.66666666666657</v>
      </c>
      <c r="I66">
        <f t="shared" si="7"/>
        <v>8.5265128291212022E-14</v>
      </c>
    </row>
    <row r="67" spans="1:9" x14ac:dyDescent="0.2">
      <c r="A67">
        <v>900</v>
      </c>
      <c r="B67">
        <f t="shared" si="3"/>
        <v>4.4444444444444444E-3</v>
      </c>
      <c r="C67">
        <f t="shared" si="4"/>
        <v>154.66666666666666</v>
      </c>
      <c r="D67" cm="1">
        <f t="array" ref="D67">calka_wielomian($C$1,$C$2,A67)</f>
        <v>154.66669300411533</v>
      </c>
      <c r="E67">
        <f t="shared" si="5"/>
        <v>2.6337448673530162E-5</v>
      </c>
      <c r="F67" cm="1">
        <f t="array" ref="F67">simpson_wielomian($C$1,$C$2,A67)</f>
        <v>154.66666666666666</v>
      </c>
      <c r="G67">
        <f t="shared" si="6"/>
        <v>0</v>
      </c>
      <c r="H67" cm="1">
        <f t="array" ref="H67">simpson38_wielomian($C$1,$C$2,A67)</f>
        <v>154.66666666666674</v>
      </c>
      <c r="I67">
        <f t="shared" si="7"/>
        <v>8.5265128291212022E-14</v>
      </c>
    </row>
    <row r="68" spans="1:9" x14ac:dyDescent="0.2">
      <c r="A68">
        <v>930</v>
      </c>
      <c r="B68">
        <f t="shared" si="3"/>
        <v>4.3010752688172043E-3</v>
      </c>
      <c r="C68">
        <f>464/3</f>
        <v>154.66666666666666</v>
      </c>
      <c r="D68" cm="1">
        <f t="array" ref="D68">calka_wielomian($C$1,$C$2,A68)</f>
        <v>154.66669133233131</v>
      </c>
      <c r="E68">
        <f t="shared" si="5"/>
        <v>2.466566465386677E-5</v>
      </c>
      <c r="F68" cm="1">
        <f t="array" ref="F68">simpson_wielomian($C$1,$C$2,A68)</f>
        <v>154.66666666666663</v>
      </c>
      <c r="G68">
        <f t="shared" si="6"/>
        <v>2.8421709430404007E-14</v>
      </c>
      <c r="H68" cm="1">
        <f t="array" ref="H68">simpson38_wielomian($C$1,$C$2,A68)</f>
        <v>154.66666666666669</v>
      </c>
      <c r="I68">
        <f t="shared" si="7"/>
        <v>2.8421709430404007E-14</v>
      </c>
    </row>
    <row r="69" spans="1:9" x14ac:dyDescent="0.2">
      <c r="A69">
        <v>960</v>
      </c>
      <c r="B69">
        <f t="shared" si="3"/>
        <v>4.1666666666666666E-3</v>
      </c>
      <c r="C69">
        <f t="shared" si="4"/>
        <v>154.66666666666666</v>
      </c>
      <c r="D69" cm="1">
        <f t="array" ref="D69">calka_wielomian($C$1,$C$2,A69)</f>
        <v>154.66668981481482</v>
      </c>
      <c r="E69">
        <f t="shared" si="5"/>
        <v>2.3148148159179982E-5</v>
      </c>
      <c r="F69" cm="1">
        <f t="array" ref="F69">simpson_wielomian($C$1,$C$2,A69)</f>
        <v>154.66666666666654</v>
      </c>
      <c r="G69">
        <f t="shared" si="6"/>
        <v>1.1368683772161603E-13</v>
      </c>
      <c r="H69" cm="1">
        <f t="array" ref="H69">simpson38_wielomian($C$1,$C$2,A69)</f>
        <v>154.66666666666663</v>
      </c>
      <c r="I69">
        <f t="shared" si="7"/>
        <v>2.8421709430404007E-14</v>
      </c>
    </row>
    <row r="70" spans="1:9" x14ac:dyDescent="0.2">
      <c r="A70">
        <v>990</v>
      </c>
      <c r="B70">
        <f t="shared" si="3"/>
        <v>4.0404040404040404E-3</v>
      </c>
      <c r="C70">
        <f t="shared" si="4"/>
        <v>154.66666666666666</v>
      </c>
      <c r="D70" cm="1">
        <f t="array" ref="D70">calka_wielomian($C$1,$C$2,A70)</f>
        <v>154.66668843315296</v>
      </c>
      <c r="E70">
        <f t="shared" si="5"/>
        <v>2.1766486298702148E-5</v>
      </c>
      <c r="F70" cm="1">
        <f t="array" ref="F70">simpson_wielomian($C$1,$C$2,A70)</f>
        <v>154.66666666666674</v>
      </c>
      <c r="G70">
        <f t="shared" si="6"/>
        <v>8.5265128291212022E-14</v>
      </c>
      <c r="H70" cm="1">
        <f t="array" ref="H70">simpson38_wielomian($C$1,$C$2,A70)</f>
        <v>154.66666666666671</v>
      </c>
      <c r="I70">
        <f t="shared" si="7"/>
        <v>5.6843418860808015E-14</v>
      </c>
    </row>
    <row r="72" spans="1:9" x14ac:dyDescent="0.2">
      <c r="A72" t="s">
        <v>21</v>
      </c>
      <c r="B72" t="s">
        <v>24</v>
      </c>
    </row>
    <row r="73" spans="1:9" x14ac:dyDescent="0.2">
      <c r="A73" s="8" t="s">
        <v>2</v>
      </c>
      <c r="B73" s="8" t="s">
        <v>20</v>
      </c>
      <c r="C73" s="9" t="s">
        <v>4</v>
      </c>
      <c r="D73" s="9" t="s">
        <v>5</v>
      </c>
      <c r="E73" s="9" t="s">
        <v>26</v>
      </c>
      <c r="F73" s="9" t="s">
        <v>6</v>
      </c>
      <c r="G73" s="9" t="s">
        <v>25</v>
      </c>
      <c r="H73" s="9" t="s">
        <v>7</v>
      </c>
      <c r="I73" s="10" t="s">
        <v>27</v>
      </c>
    </row>
    <row r="74" spans="1:9" x14ac:dyDescent="0.2">
      <c r="A74" s="3">
        <v>30</v>
      </c>
      <c r="B74" s="3">
        <f>($C$2-$C$1)/A74</f>
        <v>0.13333333333333333</v>
      </c>
      <c r="C74">
        <f>COS(1)-COS(5)</f>
        <v>0.25664012040491352</v>
      </c>
      <c r="D74" cm="1">
        <f t="array" ref="D74">calka_sinus($C$1,$C$2,A74)</f>
        <v>0.25625980011732347</v>
      </c>
      <c r="E74">
        <f>ABS(C74-D74)</f>
        <v>3.8032028759005243E-4</v>
      </c>
      <c r="F74" cm="1">
        <f t="array" ref="F74">simpson_sinus($C$1,$C$2,A74)</f>
        <v>0.25664057197678036</v>
      </c>
      <c r="G74">
        <f>ABS(C74-F74)</f>
        <v>4.5157186684408046E-7</v>
      </c>
      <c r="H74" cm="1">
        <f t="array" ref="H74">simpson38_sinus($C$1,$C$2,A74)</f>
        <v>0.25664113860082133</v>
      </c>
      <c r="I74">
        <f>ABS(C74-H74)</f>
        <v>1.0181959078092717E-6</v>
      </c>
    </row>
    <row r="75" spans="1:9" x14ac:dyDescent="0.2">
      <c r="A75" s="4">
        <v>60</v>
      </c>
      <c r="B75" s="4">
        <f t="shared" ref="B75:B106" si="8">($C$2-$C$1)/A75</f>
        <v>6.6666666666666666E-2</v>
      </c>
      <c r="C75">
        <f t="shared" ref="C75:C106" si="9">COS(1)-COS(5)</f>
        <v>0.25664012040491352</v>
      </c>
      <c r="D75" cm="1">
        <f t="array" ref="D75">calka_sinus($C$1,$C$2,A75)</f>
        <v>0.2565450614668407</v>
      </c>
      <c r="E75">
        <f t="shared" ref="E75:E106" si="10">ABS(C75-D75)</f>
        <v>9.5058938072822841E-5</v>
      </c>
      <c r="F75" cm="1">
        <f t="array" ref="F75">simpson_sinus($C$1,$C$2,A75)</f>
        <v>0.25664014858334649</v>
      </c>
      <c r="G75">
        <f t="shared" ref="G75:G106" si="11">ABS(C75-F75)</f>
        <v>2.8178432975867196E-8</v>
      </c>
      <c r="H75" cm="1">
        <f t="array" ref="H75">simpson38_sinus($C$1,$C$2,A75)</f>
        <v>0.25664018383996839</v>
      </c>
      <c r="I75">
        <f t="shared" ref="I75:I106" si="12">ABS(C75-H75)</f>
        <v>6.3435054875604635E-8</v>
      </c>
    </row>
    <row r="76" spans="1:9" x14ac:dyDescent="0.2">
      <c r="A76" s="3">
        <v>90</v>
      </c>
      <c r="B76" s="3">
        <f t="shared" si="8"/>
        <v>4.4444444444444446E-2</v>
      </c>
      <c r="C76">
        <f t="shared" si="9"/>
        <v>0.25664012040491352</v>
      </c>
      <c r="D76" cm="1">
        <f t="array" ref="D76">calka_sinus($C$1,$C$2,A76)</f>
        <v>0.25659787372674653</v>
      </c>
      <c r="E76">
        <f t="shared" si="10"/>
        <v>4.224667816699057E-5</v>
      </c>
      <c r="F76" cm="1">
        <f t="array" ref="F76">simpson_sinus($C$1,$C$2,A76)</f>
        <v>0.25664012596938757</v>
      </c>
      <c r="G76">
        <f t="shared" si="11"/>
        <v>5.5644740482030386E-9</v>
      </c>
      <c r="H76" cm="1">
        <f t="array" ref="H76">simpson38_sinus($C$1,$C$2,A76)</f>
        <v>0.25664013292792476</v>
      </c>
      <c r="I76">
        <f t="shared" si="12"/>
        <v>1.2523011239107262E-8</v>
      </c>
    </row>
    <row r="77" spans="1:9" x14ac:dyDescent="0.2">
      <c r="A77" s="4">
        <v>120</v>
      </c>
      <c r="B77" s="4">
        <f t="shared" si="8"/>
        <v>3.3333333333333333E-2</v>
      </c>
      <c r="C77">
        <f t="shared" si="9"/>
        <v>0.25664012040491352</v>
      </c>
      <c r="D77" cm="1">
        <f t="array" ref="D77">calka_sinus($C$1,$C$2,A77)</f>
        <v>0.25661635699073593</v>
      </c>
      <c r="E77">
        <f t="shared" si="10"/>
        <v>2.3763414177591091E-5</v>
      </c>
      <c r="F77" cm="1">
        <f t="array" ref="F77">simpson_sinus($C$1,$C$2,A77)</f>
        <v>0.25664012216536636</v>
      </c>
      <c r="G77">
        <f t="shared" si="11"/>
        <v>1.7604528390613439E-9</v>
      </c>
      <c r="H77" cm="1">
        <f t="array" ref="H77">simpson38_sinus($C$1,$C$2,A77)</f>
        <v>0.25664012436645722</v>
      </c>
      <c r="I77">
        <f t="shared" si="12"/>
        <v>3.9615437041895518E-9</v>
      </c>
    </row>
    <row r="78" spans="1:9" x14ac:dyDescent="0.2">
      <c r="A78" s="3">
        <v>150</v>
      </c>
      <c r="B78" s="3">
        <f t="shared" si="8"/>
        <v>2.6666666666666668E-2</v>
      </c>
      <c r="C78">
        <f t="shared" si="9"/>
        <v>0.25664012040491352</v>
      </c>
      <c r="D78" cm="1">
        <f t="array" ref="D78">calka_sinus($C$1,$C$2,A78)</f>
        <v>0.25662491192123255</v>
      </c>
      <c r="E78">
        <f t="shared" si="10"/>
        <v>1.520848368097294E-5</v>
      </c>
      <c r="F78" cm="1">
        <f t="array" ref="F78">simpson_sinus($C$1,$C$2,A78)</f>
        <v>0.25664012112596013</v>
      </c>
      <c r="G78">
        <f t="shared" si="11"/>
        <v>7.2104661130723002E-10</v>
      </c>
      <c r="H78" cm="1">
        <f t="array" ref="H78">simpson38_sinus($C$1,$C$2,A78)</f>
        <v>0.25664012202740699</v>
      </c>
      <c r="I78">
        <f t="shared" si="12"/>
        <v>1.6224934729081042E-9</v>
      </c>
    </row>
    <row r="79" spans="1:9" x14ac:dyDescent="0.2">
      <c r="A79" s="4">
        <v>180</v>
      </c>
      <c r="B79" s="4">
        <f t="shared" si="8"/>
        <v>2.2222222222222223E-2</v>
      </c>
      <c r="C79">
        <f t="shared" si="9"/>
        <v>0.25664012040491352</v>
      </c>
      <c r="D79" cm="1">
        <f t="array" ref="D79">calka_sinus($C$1,$C$2,A79)</f>
        <v>0.2566295589961618</v>
      </c>
      <c r="E79">
        <f t="shared" si="10"/>
        <v>1.0561408751719181E-5</v>
      </c>
      <c r="F79" cm="1">
        <f t="array" ref="F79">simpson_sinus($C$1,$C$2,A79)</f>
        <v>0.25664012075263132</v>
      </c>
      <c r="G79">
        <f t="shared" si="11"/>
        <v>3.4771779899855915E-10</v>
      </c>
      <c r="H79" cm="1">
        <f t="array" ref="H79">simpson38_sinus($C$1,$C$2,A79)</f>
        <v>0.25664012118732549</v>
      </c>
      <c r="I79">
        <f t="shared" si="12"/>
        <v>7.824119685473363E-10</v>
      </c>
    </row>
    <row r="80" spans="1:9" x14ac:dyDescent="0.2">
      <c r="A80" s="3">
        <v>210</v>
      </c>
      <c r="B80" s="3">
        <f t="shared" si="8"/>
        <v>1.9047619047619049E-2</v>
      </c>
      <c r="C80">
        <f t="shared" si="9"/>
        <v>0.25664012040491352</v>
      </c>
      <c r="D80" cm="1">
        <f t="array" ref="D80">calka_sinus($C$1,$C$2,A80)</f>
        <v>0.25663236101950848</v>
      </c>
      <c r="E80">
        <f t="shared" si="10"/>
        <v>7.759385405037289E-6</v>
      </c>
      <c r="F80" cm="1">
        <f t="array" ref="F80">simpson_sinus($C$1,$C$2,A80)</f>
        <v>0.25664012059259961</v>
      </c>
      <c r="G80">
        <f t="shared" si="11"/>
        <v>1.8768608889274674E-10</v>
      </c>
      <c r="H80" cm="1">
        <f t="array" ref="H80">simpson38_sinus($C$1,$C$2,A80)</f>
        <v>0.25664012082722637</v>
      </c>
      <c r="I80">
        <f t="shared" si="12"/>
        <v>4.2231285135585495E-10</v>
      </c>
    </row>
    <row r="81" spans="1:9" x14ac:dyDescent="0.2">
      <c r="A81" s="4">
        <v>240</v>
      </c>
      <c r="B81" s="4">
        <f t="shared" si="8"/>
        <v>1.6666666666666666E-2</v>
      </c>
      <c r="C81">
        <f t="shared" si="9"/>
        <v>0.25664012040491352</v>
      </c>
      <c r="D81" cm="1">
        <f t="array" ref="D81">calka_sinus($C$1,$C$2,A81)</f>
        <v>0.25663417963388158</v>
      </c>
      <c r="E81">
        <f t="shared" si="10"/>
        <v>5.9407710319425711E-6</v>
      </c>
      <c r="F81" cm="1">
        <f t="array" ref="F81">simpson_sinus($C$1,$C$2,A81)</f>
        <v>0.25664012051493118</v>
      </c>
      <c r="G81">
        <f t="shared" si="11"/>
        <v>1.1001766164753235E-10</v>
      </c>
      <c r="H81" cm="1">
        <f t="array" ref="H81">simpson38_sinus($C$1,$C$2,A81)</f>
        <v>0.25664012065246083</v>
      </c>
      <c r="I81">
        <f t="shared" si="12"/>
        <v>2.4754731597909085E-10</v>
      </c>
    </row>
    <row r="82" spans="1:9" x14ac:dyDescent="0.2">
      <c r="A82" s="3">
        <v>270</v>
      </c>
      <c r="B82" s="3">
        <f t="shared" si="8"/>
        <v>1.4814814814814815E-2</v>
      </c>
      <c r="C82">
        <f t="shared" si="9"/>
        <v>0.25664012040491352</v>
      </c>
      <c r="D82" cm="1">
        <f t="array" ref="D82">calka_sinus($C$1,$C$2,A82)</f>
        <v>0.25663542646693177</v>
      </c>
      <c r="E82">
        <f t="shared" si="10"/>
        <v>4.6939379817478866E-6</v>
      </c>
      <c r="F82" cm="1">
        <f t="array" ref="F82">simpson_sinus($C$1,$C$2,A82)</f>
        <v>0.2566401204735958</v>
      </c>
      <c r="G82">
        <f t="shared" si="11"/>
        <v>6.8682282083898372E-11</v>
      </c>
      <c r="H82" cm="1">
        <f t="array" ref="H82">simpson38_sinus($C$1,$C$2,A82)</f>
        <v>0.25664012055945368</v>
      </c>
      <c r="I82">
        <f t="shared" si="12"/>
        <v>1.5454015844795777E-10</v>
      </c>
    </row>
    <row r="83" spans="1:9" x14ac:dyDescent="0.2">
      <c r="A83" s="4">
        <v>300</v>
      </c>
      <c r="B83" s="4">
        <f t="shared" si="8"/>
        <v>1.3333333333333334E-2</v>
      </c>
      <c r="C83">
        <f t="shared" si="9"/>
        <v>0.25664012040491352</v>
      </c>
      <c r="D83" cm="1">
        <f t="array" ref="D83">calka_sinus($C$1,$C$2,A83)</f>
        <v>0.25663631831779066</v>
      </c>
      <c r="E83">
        <f t="shared" si="10"/>
        <v>3.8020871228616748E-6</v>
      </c>
      <c r="F83" cm="1">
        <f t="array" ref="F83">simpson_sinus($C$1,$C$2,A83)</f>
        <v>0.25664012044997553</v>
      </c>
      <c r="G83">
        <f t="shared" si="11"/>
        <v>4.506200967924201E-11</v>
      </c>
      <c r="H83" cm="1">
        <f t="array" ref="H83">simpson38_sinus($C$1,$C$2,A83)</f>
        <v>0.25664012050630591</v>
      </c>
      <c r="I83">
        <f t="shared" si="12"/>
        <v>1.0139239448037074E-10</v>
      </c>
    </row>
    <row r="84" spans="1:9" x14ac:dyDescent="0.2">
      <c r="A84" s="3">
        <v>330</v>
      </c>
      <c r="B84" s="3">
        <f t="shared" si="8"/>
        <v>1.2121212121212121E-2</v>
      </c>
      <c r="C84">
        <f t="shared" si="9"/>
        <v>0.25664012040491352</v>
      </c>
      <c r="D84" cm="1">
        <f t="array" ref="D84">calka_sinus($C$1,$C$2,A84)</f>
        <v>0.25663697818576592</v>
      </c>
      <c r="E84">
        <f t="shared" si="10"/>
        <v>3.142219147600489E-6</v>
      </c>
      <c r="F84" cm="1">
        <f t="array" ref="F84">simpson_sinus($C$1,$C$2,A84)</f>
        <v>0.25664012043569234</v>
      </c>
      <c r="G84">
        <f t="shared" si="11"/>
        <v>3.0778823933985677E-11</v>
      </c>
      <c r="H84" cm="1">
        <f t="array" ref="H84">simpson38_sinus($C$1,$C$2,A84)</f>
        <v>0.25664012047416618</v>
      </c>
      <c r="I84">
        <f t="shared" si="12"/>
        <v>6.9252659162799546E-11</v>
      </c>
    </row>
    <row r="85" spans="1:9" x14ac:dyDescent="0.2">
      <c r="A85" s="4">
        <v>360</v>
      </c>
      <c r="B85" s="4">
        <f t="shared" si="8"/>
        <v>1.1111111111111112E-2</v>
      </c>
      <c r="C85">
        <f t="shared" si="9"/>
        <v>0.25664012040491352</v>
      </c>
      <c r="D85" cm="1">
        <f t="array" ref="D85">calka_sinus($C$1,$C$2,A85)</f>
        <v>0.25663748006902271</v>
      </c>
      <c r="E85">
        <f t="shared" si="10"/>
        <v>2.6403358908133612E-6</v>
      </c>
      <c r="F85" cm="1">
        <f t="array" ref="F85">simpson_sinus($C$1,$C$2,A85)</f>
        <v>0.25664012042664586</v>
      </c>
      <c r="G85">
        <f t="shared" si="11"/>
        <v>2.1732338151281283E-11</v>
      </c>
      <c r="H85" cm="1">
        <f t="array" ref="H85">simpson38_sinus($C$1,$C$2,A85)</f>
        <v>0.25664012045381002</v>
      </c>
      <c r="I85">
        <f t="shared" si="12"/>
        <v>4.8896497961692376E-11</v>
      </c>
    </row>
    <row r="86" spans="1:9" x14ac:dyDescent="0.2">
      <c r="A86" s="3">
        <v>390</v>
      </c>
      <c r="B86" s="3">
        <f t="shared" si="8"/>
        <v>1.0256410256410256E-2</v>
      </c>
      <c r="C86">
        <f t="shared" si="9"/>
        <v>0.25664012040491352</v>
      </c>
      <c r="D86" cm="1">
        <f t="array" ref="D86">calka_sinus($C$1,$C$2,A86)</f>
        <v>0.2566378706519426</v>
      </c>
      <c r="E86">
        <f t="shared" si="10"/>
        <v>2.2497529709175623E-6</v>
      </c>
      <c r="F86" cm="1">
        <f t="array" ref="F86">simpson_sinus($C$1,$C$2,A86)</f>
        <v>0.2566401204206914</v>
      </c>
      <c r="G86">
        <f t="shared" si="11"/>
        <v>1.5777879003309181E-11</v>
      </c>
      <c r="H86" cm="1">
        <f t="array" ref="H86">simpson38_sinus($C$1,$C$2,A86)</f>
        <v>0.25664012044041301</v>
      </c>
      <c r="I86">
        <f t="shared" si="12"/>
        <v>3.5499492234691843E-11</v>
      </c>
    </row>
    <row r="87" spans="1:9" x14ac:dyDescent="0.2">
      <c r="A87" s="4">
        <v>420</v>
      </c>
      <c r="B87" s="4">
        <f t="shared" si="8"/>
        <v>9.5238095238095247E-3</v>
      </c>
      <c r="C87">
        <f t="shared" si="9"/>
        <v>0.25664012040491352</v>
      </c>
      <c r="D87" cm="1">
        <f t="array" ref="D87">calka_sinus($C$1,$C$2,A87)</f>
        <v>0.2566381805673586</v>
      </c>
      <c r="E87">
        <f t="shared" si="10"/>
        <v>1.9398375549206648E-6</v>
      </c>
      <c r="F87" cm="1">
        <f t="array" ref="F87">simpson_sinus($C$1,$C$2,A87)</f>
        <v>0.25664012041664402</v>
      </c>
      <c r="G87">
        <f t="shared" si="11"/>
        <v>1.1730505455886941E-11</v>
      </c>
      <c r="H87" cm="1">
        <f t="array" ref="H87">simpson38_sinus($C$1,$C$2,A87)</f>
        <v>0.25664012043130596</v>
      </c>
      <c r="I87">
        <f t="shared" si="12"/>
        <v>2.6392443785994146E-11</v>
      </c>
    </row>
    <row r="88" spans="1:9" x14ac:dyDescent="0.2">
      <c r="A88" s="3">
        <v>450</v>
      </c>
      <c r="B88" s="3">
        <f t="shared" si="8"/>
        <v>8.8888888888888889E-3</v>
      </c>
      <c r="C88">
        <f t="shared" si="9"/>
        <v>0.25664012040491352</v>
      </c>
      <c r="D88" cm="1">
        <f t="array" ref="D88">calka_sinus($C$1,$C$2,A88)</f>
        <v>0.25663843059119557</v>
      </c>
      <c r="E88">
        <f t="shared" si="10"/>
        <v>1.6898137179532924E-6</v>
      </c>
      <c r="F88" cm="1">
        <f t="array" ref="F88">simpson_sinus($C$1,$C$2,A88)</f>
        <v>0.25664012041381534</v>
      </c>
      <c r="G88">
        <f t="shared" si="11"/>
        <v>8.9018237225957364E-12</v>
      </c>
      <c r="H88" cm="1">
        <f t="array" ref="H88">simpson38_sinus($C$1,$C$2,A88)</f>
        <v>0.25664012042494155</v>
      </c>
      <c r="I88">
        <f t="shared" si="12"/>
        <v>2.0028034786179205E-11</v>
      </c>
    </row>
    <row r="89" spans="1:9" x14ac:dyDescent="0.2">
      <c r="A89" s="4">
        <v>480</v>
      </c>
      <c r="B89" s="4">
        <f t="shared" si="8"/>
        <v>8.3333333333333332E-3</v>
      </c>
      <c r="C89">
        <f t="shared" si="9"/>
        <v>0.25664012040491352</v>
      </c>
      <c r="D89" cm="1">
        <f t="array" ref="D89">calka_sinus($C$1,$C$2,A89)</f>
        <v>0.25663863521731234</v>
      </c>
      <c r="E89">
        <f t="shared" si="10"/>
        <v>1.4851876011801046E-6</v>
      </c>
      <c r="F89" cm="1">
        <f t="array" ref="F89">simpson_sinus($C$1,$C$2,A89)</f>
        <v>0.25664012041178919</v>
      </c>
      <c r="G89">
        <f t="shared" si="11"/>
        <v>6.8756667026548257E-12</v>
      </c>
      <c r="H89" cm="1">
        <f t="array" ref="H89">simpson38_sinus($C$1,$C$2,A89)</f>
        <v>0.25664012042038448</v>
      </c>
      <c r="I89">
        <f t="shared" si="12"/>
        <v>1.5470957848151556E-11</v>
      </c>
    </row>
    <row r="90" spans="1:9" x14ac:dyDescent="0.2">
      <c r="A90" s="3">
        <v>510</v>
      </c>
      <c r="B90" s="3">
        <f t="shared" si="8"/>
        <v>7.8431372549019607E-3</v>
      </c>
      <c r="C90">
        <f t="shared" si="9"/>
        <v>0.25664012040491352</v>
      </c>
      <c r="D90" cm="1">
        <f t="array" ref="D90">calka_sinus($C$1,$C$2,A90)</f>
        <v>0.25663880480638224</v>
      </c>
      <c r="E90">
        <f t="shared" si="10"/>
        <v>1.3155985312818252E-6</v>
      </c>
      <c r="F90" cm="1">
        <f t="array" ref="F90">simpson_sinus($C$1,$C$2,A90)</f>
        <v>0.25664012041030837</v>
      </c>
      <c r="G90">
        <f t="shared" si="11"/>
        <v>5.3948512324097919E-12</v>
      </c>
      <c r="H90" cm="1">
        <f t="array" ref="H90">simpson38_sinus($C$1,$C$2,A90)</f>
        <v>0.25664012041705259</v>
      </c>
      <c r="I90">
        <f t="shared" si="12"/>
        <v>1.2139067528948999E-11</v>
      </c>
    </row>
    <row r="91" spans="1:9" x14ac:dyDescent="0.2">
      <c r="A91" s="4">
        <v>540</v>
      </c>
      <c r="B91" s="4">
        <f t="shared" si="8"/>
        <v>7.4074074074074077E-3</v>
      </c>
      <c r="C91">
        <f t="shared" si="9"/>
        <v>0.25664012040491352</v>
      </c>
      <c r="D91" cm="1">
        <f t="array" ref="D91">calka_sinus($C$1,$C$2,A91)</f>
        <v>0.25663894692363787</v>
      </c>
      <c r="E91">
        <f t="shared" si="10"/>
        <v>1.1734812756514224E-6</v>
      </c>
      <c r="F91" cm="1">
        <f t="array" ref="F91">simpson_sinus($C$1,$C$2,A91)</f>
        <v>0.25664012040920592</v>
      </c>
      <c r="G91">
        <f t="shared" si="11"/>
        <v>4.2923997689570115E-12</v>
      </c>
      <c r="H91" cm="1">
        <f t="array" ref="H91">simpson38_sinus($C$1,$C$2,A91)</f>
        <v>0.25664012041457229</v>
      </c>
      <c r="I91">
        <f t="shared" si="12"/>
        <v>9.6587737807851681E-12</v>
      </c>
    </row>
    <row r="92" spans="1:9" x14ac:dyDescent="0.2">
      <c r="A92" s="3">
        <v>570</v>
      </c>
      <c r="B92" s="3">
        <f t="shared" si="8"/>
        <v>7.0175438596491229E-3</v>
      </c>
      <c r="C92">
        <f t="shared" si="9"/>
        <v>0.25664012040491352</v>
      </c>
      <c r="D92" cm="1">
        <f t="array" ref="D92">calka_sinus($C$1,$C$2,A92)</f>
        <v>0.25663906719744056</v>
      </c>
      <c r="E92">
        <f t="shared" si="10"/>
        <v>1.0532074729563412E-6</v>
      </c>
      <c r="F92" cm="1">
        <f t="array" ref="F92">simpson_sinus($C$1,$C$2,A92)</f>
        <v>0.25664012040837125</v>
      </c>
      <c r="G92">
        <f t="shared" si="11"/>
        <v>3.4577340990438188E-12</v>
      </c>
      <c r="H92" cm="1">
        <f t="array" ref="H92">simpson38_sinus($C$1,$C$2,A92)</f>
        <v>0.25664012041269291</v>
      </c>
      <c r="I92">
        <f t="shared" si="12"/>
        <v>7.7793882446997031E-12</v>
      </c>
    </row>
    <row r="93" spans="1:9" x14ac:dyDescent="0.2">
      <c r="A93" s="4">
        <v>600</v>
      </c>
      <c r="B93" s="4">
        <f t="shared" si="8"/>
        <v>6.6666666666666671E-3</v>
      </c>
      <c r="C93">
        <f t="shared" si="9"/>
        <v>0.25664012040491352</v>
      </c>
      <c r="D93" cm="1">
        <f t="array" ref="D93">calka_sinus($C$1,$C$2,A93)</f>
        <v>0.25663916988524355</v>
      </c>
      <c r="E93">
        <f t="shared" si="10"/>
        <v>9.5051966997328208E-7</v>
      </c>
      <c r="F93" cm="1">
        <f t="array" ref="F93">simpson_sinus($C$1,$C$2,A93)</f>
        <v>0.25664012040772982</v>
      </c>
      <c r="G93">
        <f t="shared" si="11"/>
        <v>2.8163027465666346E-12</v>
      </c>
      <c r="H93" cm="1">
        <f t="array" ref="H93">simpson38_sinus($C$1,$C$2,A93)</f>
        <v>0.25664012041125039</v>
      </c>
      <c r="I93">
        <f t="shared" si="12"/>
        <v>6.3368754688042372E-12</v>
      </c>
    </row>
    <row r="94" spans="1:9" x14ac:dyDescent="0.2">
      <c r="A94" s="3">
        <v>630</v>
      </c>
      <c r="B94" s="3">
        <f t="shared" si="8"/>
        <v>6.3492063492063492E-3</v>
      </c>
      <c r="C94">
        <f t="shared" si="9"/>
        <v>0.25664012040491352</v>
      </c>
      <c r="D94" cm="1">
        <f t="array" ref="D94">calka_sinus($C$1,$C$2,A94)</f>
        <v>0.25663925825561401</v>
      </c>
      <c r="E94">
        <f t="shared" si="10"/>
        <v>8.6214929950756414E-7</v>
      </c>
      <c r="F94" cm="1">
        <f t="array" ref="F94">simpson_sinus($C$1,$C$2,A94)</f>
        <v>0.25664012040723044</v>
      </c>
      <c r="G94">
        <f t="shared" si="11"/>
        <v>2.3169244300902392E-12</v>
      </c>
      <c r="H94" cm="1">
        <f t="array" ref="H94">simpson38_sinus($C$1,$C$2,A94)</f>
        <v>0.25664012041012668</v>
      </c>
      <c r="I94">
        <f t="shared" si="12"/>
        <v>5.2131632344298851E-12</v>
      </c>
    </row>
    <row r="95" spans="1:9" x14ac:dyDescent="0.2">
      <c r="A95" s="4">
        <v>660</v>
      </c>
      <c r="B95" s="4">
        <f t="shared" si="8"/>
        <v>6.0606060606060606E-3</v>
      </c>
      <c r="C95">
        <f t="shared" si="9"/>
        <v>0.25664012040491352</v>
      </c>
      <c r="D95" cm="1">
        <f t="array" ref="D95">calka_sinus($C$1,$C$2,A95)</f>
        <v>0.25663933485156798</v>
      </c>
      <c r="E95">
        <f t="shared" si="10"/>
        <v>7.8555334553920275E-7</v>
      </c>
      <c r="F95" cm="1">
        <f t="array" ref="F95">simpson_sinus($C$1,$C$2,A95)</f>
        <v>0.25664012040683692</v>
      </c>
      <c r="G95">
        <f t="shared" si="11"/>
        <v>1.9234058790118524E-12</v>
      </c>
      <c r="H95" cm="1">
        <f t="array" ref="H95">simpson38_sinus($C$1,$C$2,A95)</f>
        <v>0.25664012040924183</v>
      </c>
      <c r="I95">
        <f t="shared" si="12"/>
        <v>4.3283154838036353E-12</v>
      </c>
    </row>
    <row r="96" spans="1:9" x14ac:dyDescent="0.2">
      <c r="A96" s="3">
        <v>690</v>
      </c>
      <c r="B96" s="3">
        <f t="shared" si="8"/>
        <v>5.7971014492753624E-3</v>
      </c>
      <c r="C96">
        <f t="shared" si="9"/>
        <v>0.25664012040491352</v>
      </c>
      <c r="D96" cm="1">
        <f t="array" ref="D96">calka_sinus($C$1,$C$2,A96)</f>
        <v>0.25663940167561422</v>
      </c>
      <c r="E96">
        <f t="shared" si="10"/>
        <v>7.1872929929828189E-7</v>
      </c>
      <c r="F96" cm="1">
        <f t="array" ref="F96">simpson_sinus($C$1,$C$2,A96)</f>
        <v>0.25664012040652412</v>
      </c>
      <c r="G96">
        <f t="shared" si="11"/>
        <v>1.6106005418237146E-12</v>
      </c>
      <c r="H96" cm="1">
        <f t="array" ref="H96">simpson38_sinus($C$1,$C$2,A96)</f>
        <v>0.25664012040853734</v>
      </c>
      <c r="I96">
        <f t="shared" si="12"/>
        <v>3.6238234635277422E-12</v>
      </c>
    </row>
    <row r="97" spans="1:9" x14ac:dyDescent="0.2">
      <c r="A97" s="4">
        <v>720</v>
      </c>
      <c r="B97" s="4">
        <f t="shared" si="8"/>
        <v>5.5555555555555558E-3</v>
      </c>
      <c r="C97">
        <f t="shared" si="9"/>
        <v>0.25664012040491352</v>
      </c>
      <c r="D97" cm="1">
        <f t="array" ref="D97">calka_sinus($C$1,$C$2,A97)</f>
        <v>0.25663946032196194</v>
      </c>
      <c r="E97">
        <f t="shared" si="10"/>
        <v>6.6008295157571339E-7</v>
      </c>
      <c r="F97" cm="1">
        <f t="array" ref="F97">simpson_sinus($C$1,$C$2,A97)</f>
        <v>0.25664012040627127</v>
      </c>
      <c r="G97">
        <f t="shared" si="11"/>
        <v>1.3577472479653352E-12</v>
      </c>
      <c r="H97" cm="1">
        <f t="array" ref="H97">simpson38_sinus($C$1,$C$2,A97)</f>
        <v>0.25664012040796963</v>
      </c>
      <c r="I97">
        <f t="shared" si="12"/>
        <v>3.0561109198856684E-12</v>
      </c>
    </row>
    <row r="98" spans="1:9" x14ac:dyDescent="0.2">
      <c r="A98" s="3">
        <v>750</v>
      </c>
      <c r="B98" s="3">
        <f t="shared" si="8"/>
        <v>5.3333333333333332E-3</v>
      </c>
      <c r="C98">
        <f t="shared" si="9"/>
        <v>0.25664012040491352</v>
      </c>
      <c r="D98" cm="1">
        <f t="array" ref="D98">calka_sinus($C$1,$C$2,A98)</f>
        <v>0.25663951207248692</v>
      </c>
      <c r="E98">
        <f t="shared" si="10"/>
        <v>6.0833242659930065E-7</v>
      </c>
      <c r="F98" cm="1">
        <f t="array" ref="F98">simpson_sinus($C$1,$C$2,A98)</f>
        <v>0.2566401204060681</v>
      </c>
      <c r="G98">
        <f t="shared" si="11"/>
        <v>1.1545764344589315E-12</v>
      </c>
      <c r="H98" cm="1">
        <f t="array" ref="H98">simpson38_sinus($C$1,$C$2,A98)</f>
        <v>0.2566401204075095</v>
      </c>
      <c r="I98">
        <f t="shared" si="12"/>
        <v>2.5959789873297723E-12</v>
      </c>
    </row>
    <row r="99" spans="1:9" x14ac:dyDescent="0.2">
      <c r="A99" s="4">
        <v>780</v>
      </c>
      <c r="B99" s="4">
        <f t="shared" si="8"/>
        <v>5.1282051282051282E-3</v>
      </c>
      <c r="C99">
        <f t="shared" si="9"/>
        <v>0.25664012040491352</v>
      </c>
      <c r="D99" cm="1">
        <f t="array" ref="D99">calka_sinus($C$1,$C$2,A99)</f>
        <v>0.25663955796741006</v>
      </c>
      <c r="E99">
        <f t="shared" si="10"/>
        <v>5.6243750345963406E-7</v>
      </c>
      <c r="F99" cm="1">
        <f t="array" ref="F99">simpson_sinus($C$1,$C$2,A99)</f>
        <v>0.25664012040590051</v>
      </c>
      <c r="G99">
        <f t="shared" si="11"/>
        <v>9.8698826889176416E-13</v>
      </c>
      <c r="H99" cm="1">
        <f t="array" ref="H99">simpson38_sinus($C$1,$C$2,A99)</f>
        <v>0.25664012040713258</v>
      </c>
      <c r="I99">
        <f t="shared" si="12"/>
        <v>2.2190582704695316E-12</v>
      </c>
    </row>
    <row r="100" spans="1:9" x14ac:dyDescent="0.2">
      <c r="A100" s="3">
        <v>810</v>
      </c>
      <c r="B100" s="3">
        <f t="shared" si="8"/>
        <v>4.9382716049382715E-3</v>
      </c>
      <c r="C100">
        <f t="shared" si="9"/>
        <v>0.25664012040491352</v>
      </c>
      <c r="D100" cm="1">
        <f t="array" ref="D100">calka_sinus($C$1,$C$2,A100)</f>
        <v>0.25663959885794546</v>
      </c>
      <c r="E100">
        <f t="shared" si="10"/>
        <v>5.2154696805750689E-7</v>
      </c>
      <c r="F100" cm="1">
        <f t="array" ref="F100">simpson_sinus($C$1,$C$2,A100)</f>
        <v>0.25664012040576323</v>
      </c>
      <c r="G100">
        <f t="shared" si="11"/>
        <v>8.4970919189686356E-13</v>
      </c>
      <c r="H100" cm="1">
        <f t="array" ref="H100">simpson38_sinus($C$1,$C$2,A100)</f>
        <v>0.25664012040682155</v>
      </c>
      <c r="I100">
        <f t="shared" si="12"/>
        <v>1.908029290120794E-12</v>
      </c>
    </row>
    <row r="101" spans="1:9" x14ac:dyDescent="0.2">
      <c r="A101" s="4">
        <v>840</v>
      </c>
      <c r="B101" s="4">
        <f t="shared" si="8"/>
        <v>4.7619047619047623E-3</v>
      </c>
      <c r="C101">
        <f t="shared" si="9"/>
        <v>0.25664012040491352</v>
      </c>
      <c r="D101" cm="1">
        <f t="array" ref="D101">calka_sinus($C$1,$C$2,A101)</f>
        <v>0.2566396354460746</v>
      </c>
      <c r="E101">
        <f t="shared" si="10"/>
        <v>4.8495883891996883E-7</v>
      </c>
      <c r="F101" cm="1">
        <f t="array" ref="F101">simpson_sinus($C$1,$C$2,A101)</f>
        <v>0.25664012040564566</v>
      </c>
      <c r="G101">
        <f t="shared" si="11"/>
        <v>7.3213657358905948E-13</v>
      </c>
      <c r="H101" cm="1">
        <f t="array" ref="H101">simpson38_sinus($C$1,$C$2,A101)</f>
        <v>0.25664012040656259</v>
      </c>
      <c r="I101">
        <f t="shared" si="12"/>
        <v>1.6490697696269763E-12</v>
      </c>
    </row>
    <row r="102" spans="1:9" x14ac:dyDescent="0.2">
      <c r="A102" s="3">
        <v>870</v>
      </c>
      <c r="B102" s="3">
        <f t="shared" si="8"/>
        <v>4.5977011494252873E-3</v>
      </c>
      <c r="C102">
        <f t="shared" si="9"/>
        <v>0.25664012040491352</v>
      </c>
      <c r="D102" cm="1">
        <f t="array" ref="D102">calka_sinus($C$1,$C$2,A102)</f>
        <v>0.25663966831487828</v>
      </c>
      <c r="E102">
        <f t="shared" si="10"/>
        <v>4.5209003524115943E-7</v>
      </c>
      <c r="F102" cm="1">
        <f t="array" ref="F102">simpson_sinus($C$1,$C$2,A102)</f>
        <v>0.25664012040555184</v>
      </c>
      <c r="G102">
        <f t="shared" si="11"/>
        <v>6.3832272800823375E-13</v>
      </c>
      <c r="H102" cm="1">
        <f t="array" ref="H102">simpson38_sinus($C$1,$C$2,A102)</f>
        <v>0.25664012040634715</v>
      </c>
      <c r="I102">
        <f t="shared" si="12"/>
        <v>1.4336309916984646E-12</v>
      </c>
    </row>
    <row r="103" spans="1:9" x14ac:dyDescent="0.2">
      <c r="A103" s="4">
        <v>900</v>
      </c>
      <c r="B103" s="4">
        <f t="shared" si="8"/>
        <v>4.4444444444444444E-3</v>
      </c>
      <c r="C103">
        <f t="shared" si="9"/>
        <v>0.25664012040491352</v>
      </c>
      <c r="D103" cm="1">
        <f t="array" ref="D103">calka_sinus($C$1,$C$2,A103)</f>
        <v>0.25663969795190139</v>
      </c>
      <c r="E103">
        <f t="shared" si="10"/>
        <v>4.2245301212773256E-7</v>
      </c>
      <c r="F103" cm="1">
        <f t="array" ref="F103">simpson_sinus($C$1,$C$2,A103)</f>
        <v>0.25664012040546996</v>
      </c>
      <c r="G103">
        <f t="shared" si="11"/>
        <v>5.5644377994212846E-13</v>
      </c>
      <c r="H103" cm="1">
        <f t="array" ref="H103">simpson38_sinus($C$1,$C$2,A103)</f>
        <v>0.25664012040616491</v>
      </c>
      <c r="I103">
        <f t="shared" si="12"/>
        <v>1.2513878822062452E-12</v>
      </c>
    </row>
    <row r="104" spans="1:9" x14ac:dyDescent="0.2">
      <c r="A104" s="3">
        <v>930</v>
      </c>
      <c r="B104" s="3">
        <f t="shared" si="8"/>
        <v>4.3010752688172043E-3</v>
      </c>
      <c r="C104">
        <f t="shared" si="9"/>
        <v>0.25664012040491352</v>
      </c>
      <c r="D104" cm="1">
        <f t="array" ref="D104">calka_sinus($C$1,$C$2,A104)</f>
        <v>0.25663972476734564</v>
      </c>
      <c r="E104">
        <f t="shared" si="10"/>
        <v>3.9563756787375226E-7</v>
      </c>
      <c r="F104" cm="1">
        <f t="array" ref="F104">simpson_sinus($C$1,$C$2,A104)</f>
        <v>0.25664012040540152</v>
      </c>
      <c r="G104">
        <f t="shared" si="11"/>
        <v>4.8799853047398756E-13</v>
      </c>
      <c r="H104" cm="1">
        <f t="array" ref="H104">simpson38_sinus($C$1,$C$2,A104)</f>
        <v>0.25664012040601059</v>
      </c>
      <c r="I104">
        <f t="shared" si="12"/>
        <v>1.0970668817833484E-12</v>
      </c>
    </row>
    <row r="105" spans="1:9" x14ac:dyDescent="0.2">
      <c r="A105" s="4">
        <v>960</v>
      </c>
      <c r="B105" s="4">
        <f t="shared" si="8"/>
        <v>4.1666666666666666E-3</v>
      </c>
      <c r="C105">
        <f t="shared" si="9"/>
        <v>0.25664012040491352</v>
      </c>
      <c r="D105" cm="1">
        <f t="array" ref="D105">calka_sinus($C$1,$C$2,A105)</f>
        <v>0.25663974910833576</v>
      </c>
      <c r="E105">
        <f t="shared" si="10"/>
        <v>3.7129657776135971E-7</v>
      </c>
      <c r="F105" cm="1">
        <f t="array" ref="F105">simpson_sinus($C$1,$C$2,A105)</f>
        <v>0.25664012040534384</v>
      </c>
      <c r="G105">
        <f t="shared" si="11"/>
        <v>4.3032244434471068E-13</v>
      </c>
      <c r="H105" cm="1">
        <f t="array" ref="H105">simpson38_sinus($C$1,$C$2,A105)</f>
        <v>0.25664012040588047</v>
      </c>
      <c r="I105">
        <f t="shared" si="12"/>
        <v>9.6694874329728009E-13</v>
      </c>
    </row>
    <row r="106" spans="1:9" x14ac:dyDescent="0.2">
      <c r="A106" s="3">
        <v>990</v>
      </c>
      <c r="B106" s="3">
        <f t="shared" si="8"/>
        <v>4.0404040404040404E-3</v>
      </c>
      <c r="C106">
        <f t="shared" si="9"/>
        <v>0.25664012040491352</v>
      </c>
      <c r="D106" cm="1">
        <f t="array" ref="D106">calka_sinus($C$1,$C$2,A106)</f>
        <v>0.25663977127021248</v>
      </c>
      <c r="E106">
        <f t="shared" si="10"/>
        <v>3.4913470103870026E-7</v>
      </c>
      <c r="F106" cm="1">
        <f t="array" ref="F106">simpson_sinus($C$1,$C$2,A106)</f>
        <v>0.25664012040529366</v>
      </c>
      <c r="G106">
        <f t="shared" si="11"/>
        <v>3.801403636316536E-13</v>
      </c>
      <c r="H106" cm="1">
        <f t="array" ref="H106">simpson38_sinus($C$1,$C$2,A106)</f>
        <v>0.25664012040576911</v>
      </c>
      <c r="I106">
        <f t="shared" si="12"/>
        <v>8.5559337392737689E-13</v>
      </c>
    </row>
    <row r="108" spans="1:9" x14ac:dyDescent="0.2">
      <c r="A108" t="s">
        <v>21</v>
      </c>
      <c r="B108" t="s">
        <v>23</v>
      </c>
    </row>
    <row r="109" spans="1:9" x14ac:dyDescent="0.2">
      <c r="A109" s="8" t="s">
        <v>2</v>
      </c>
      <c r="B109" s="8" t="s">
        <v>20</v>
      </c>
      <c r="C109" s="9" t="s">
        <v>4</v>
      </c>
      <c r="D109" s="9" t="s">
        <v>5</v>
      </c>
      <c r="E109" s="9" t="s">
        <v>26</v>
      </c>
      <c r="F109" s="9" t="s">
        <v>6</v>
      </c>
      <c r="G109" s="9" t="s">
        <v>25</v>
      </c>
      <c r="H109" s="9" t="s">
        <v>7</v>
      </c>
      <c r="I109" s="10" t="s">
        <v>27</v>
      </c>
    </row>
    <row r="110" spans="1:9" x14ac:dyDescent="0.2">
      <c r="A110" s="3">
        <v>30</v>
      </c>
      <c r="B110" s="3">
        <f>($C$2-$C$1)/A110</f>
        <v>0.13333333333333333</v>
      </c>
      <c r="C110">
        <f>5*LN(5)-4</f>
        <v>4.0471895621705016</v>
      </c>
      <c r="D110" cm="1">
        <f t="array" ref="D110">calka_logarytm($C$1,$C$2,A110)</f>
        <v>4.0460052434771434</v>
      </c>
      <c r="E110">
        <f>ABS(C110-D110)</f>
        <v>1.1843186933582217E-3</v>
      </c>
      <c r="F110" cm="1">
        <f t="array" ref="F110">simpson_logarytm($C$1,$C$2,A110)</f>
        <v>4.0471861632068427</v>
      </c>
      <c r="G110">
        <f>ABS(C110-F110)</f>
        <v>3.3989636589737415E-6</v>
      </c>
      <c r="H110" cm="1">
        <f t="array" ref="H110">simpson38_logarytm($C$1,$C$2,A110)</f>
        <v>4.0471820849648354</v>
      </c>
      <c r="I110">
        <f>ABS(C110-H110)</f>
        <v>7.4772056661842612E-6</v>
      </c>
    </row>
    <row r="111" spans="1:9" x14ac:dyDescent="0.2">
      <c r="A111" s="4">
        <v>60</v>
      </c>
      <c r="B111" s="4">
        <f t="shared" ref="B111:B142" si="13">($C$2-$C$1)/A111</f>
        <v>6.6666666666666666E-2</v>
      </c>
      <c r="C111">
        <f t="shared" ref="C111:C142" si="14">5*LN(5)-4</f>
        <v>4.0471895621705016</v>
      </c>
      <c r="D111" cm="1">
        <f t="array" ref="D111">calka_logarytm($C$1,$C$2,A111)</f>
        <v>4.04689332023551</v>
      </c>
      <c r="E111">
        <f t="shared" ref="E111:E142" si="15">ABS(C111-D111)</f>
        <v>2.9624193499167006E-4</v>
      </c>
      <c r="F111" cm="1">
        <f t="array" ref="F111">simpson_logarytm($C$1,$C$2,A111)</f>
        <v>4.0471893458216313</v>
      </c>
      <c r="G111">
        <f t="shared" ref="G111:G142" si="16">ABS(C111-F111)</f>
        <v>2.1634887037436101E-7</v>
      </c>
      <c r="H111" cm="1">
        <f t="array" ref="H111">simpson38_logarytm($C$1,$C$2,A111)</f>
        <v>4.0471890783824636</v>
      </c>
      <c r="I111">
        <f t="shared" ref="I111:I142" si="17">ABS(C111-H111)</f>
        <v>4.8378803807480608E-7</v>
      </c>
    </row>
    <row r="112" spans="1:9" x14ac:dyDescent="0.2">
      <c r="A112" s="3">
        <v>90</v>
      </c>
      <c r="B112" s="3">
        <f t="shared" si="13"/>
        <v>4.4444444444444446E-2</v>
      </c>
      <c r="C112">
        <f t="shared" si="14"/>
        <v>4.0471895621705016</v>
      </c>
      <c r="D112" cm="1">
        <f t="array" ref="D112">calka_logarytm($C$1,$C$2,A112)</f>
        <v>4.0470578856733459</v>
      </c>
      <c r="E112">
        <f t="shared" si="15"/>
        <v>1.3167649715573049E-4</v>
      </c>
      <c r="F112" cm="1">
        <f t="array" ref="F112">simpson_logarytm($C$1,$C$2,A112)</f>
        <v>4.0471895192850535</v>
      </c>
      <c r="G112">
        <f t="shared" si="16"/>
        <v>4.288544808161987E-8</v>
      </c>
      <c r="H112" cm="1">
        <f t="array" ref="H112">simpson38_logarytm($C$1,$C$2,A112)</f>
        <v>4.0471894659478709</v>
      </c>
      <c r="I112">
        <f t="shared" si="17"/>
        <v>9.6222630752151872E-8</v>
      </c>
    </row>
    <row r="113" spans="1:9" x14ac:dyDescent="0.2">
      <c r="A113" s="4">
        <v>120</v>
      </c>
      <c r="B113" s="4">
        <f t="shared" si="13"/>
        <v>3.3333333333333333E-2</v>
      </c>
      <c r="C113">
        <f t="shared" si="14"/>
        <v>4.0471895621705016</v>
      </c>
      <c r="D113" cm="1">
        <f t="array" ref="D113">calka_logarytm($C$1,$C$2,A113)</f>
        <v>4.0471154914972614</v>
      </c>
      <c r="E113">
        <f t="shared" si="15"/>
        <v>7.4070673240278495E-5</v>
      </c>
      <c r="F113" cm="1">
        <f t="array" ref="F113">simpson_logarytm($C$1,$C$2,A113)</f>
        <v>4.0471895485845115</v>
      </c>
      <c r="G113">
        <f t="shared" si="16"/>
        <v>1.3585990110698276E-8</v>
      </c>
      <c r="H113" cm="1">
        <f t="array" ref="H113">simpson38_logarytm($C$1,$C$2,A113)</f>
        <v>4.0471895316504352</v>
      </c>
      <c r="I113">
        <f t="shared" si="17"/>
        <v>3.0520066474082341E-8</v>
      </c>
    </row>
    <row r="114" spans="1:9" x14ac:dyDescent="0.2">
      <c r="A114" s="3">
        <v>150</v>
      </c>
      <c r="B114" s="3">
        <f t="shared" si="13"/>
        <v>2.6666666666666668E-2</v>
      </c>
      <c r="C114">
        <f t="shared" si="14"/>
        <v>4.0471895621705016</v>
      </c>
      <c r="D114" cm="1">
        <f t="array" ref="D114">calka_logarytm($C$1,$C$2,A114)</f>
        <v>4.0471421561562373</v>
      </c>
      <c r="E114">
        <f t="shared" si="15"/>
        <v>4.7406014264339547E-5</v>
      </c>
      <c r="F114" cm="1">
        <f t="array" ref="F114">simpson_logarytm($C$1,$C$2,A114)</f>
        <v>4.0471895566024898</v>
      </c>
      <c r="G114">
        <f t="shared" si="16"/>
        <v>5.5680118293821579E-9</v>
      </c>
      <c r="H114" cm="1">
        <f t="array" ref="H114">simpson38_logarytm($C$1,$C$2,A114)</f>
        <v>4.0471895496552168</v>
      </c>
      <c r="I114">
        <f t="shared" si="17"/>
        <v>1.2515284808500837E-8</v>
      </c>
    </row>
    <row r="115" spans="1:9" x14ac:dyDescent="0.2">
      <c r="A115" s="4">
        <v>180</v>
      </c>
      <c r="B115" s="4">
        <f t="shared" si="13"/>
        <v>2.2222222222222223E-2</v>
      </c>
      <c r="C115">
        <f t="shared" si="14"/>
        <v>4.0471895621705016</v>
      </c>
      <c r="D115" cm="1">
        <f t="array" ref="D115">calka_logarytm($C$1,$C$2,A115)</f>
        <v>4.0471566410316919</v>
      </c>
      <c r="E115">
        <f t="shared" si="15"/>
        <v>3.2921138809705042E-5</v>
      </c>
      <c r="F115" cm="1">
        <f t="array" ref="F115">simpson_logarytm($C$1,$C$2,A115)</f>
        <v>4.0471895594844725</v>
      </c>
      <c r="G115">
        <f t="shared" si="16"/>
        <v>2.6860291768571187E-9</v>
      </c>
      <c r="H115" cm="1">
        <f t="array" ref="H115">simpson38_logarytm($C$1,$C$2,A115)</f>
        <v>4.0471895561312135</v>
      </c>
      <c r="I115">
        <f t="shared" si="17"/>
        <v>6.0392881806592413E-9</v>
      </c>
    </row>
    <row r="116" spans="1:9" x14ac:dyDescent="0.2">
      <c r="A116" s="3">
        <v>210</v>
      </c>
      <c r="B116" s="3">
        <f t="shared" si="13"/>
        <v>1.9047619047619049E-2</v>
      </c>
      <c r="C116">
        <f t="shared" si="14"/>
        <v>4.0471895621705016</v>
      </c>
      <c r="D116" cm="1">
        <f t="array" ref="D116">calka_logarytm($C$1,$C$2,A116)</f>
        <v>4.0471653750804268</v>
      </c>
      <c r="E116">
        <f t="shared" si="15"/>
        <v>2.4187090074789808E-5</v>
      </c>
      <c r="F116" cm="1">
        <f t="array" ref="F116">simpson_logarytm($C$1,$C$2,A116)</f>
        <v>4.0471895607203789</v>
      </c>
      <c r="G116">
        <f t="shared" si="16"/>
        <v>1.4501226885954566E-9</v>
      </c>
      <c r="H116" cm="1">
        <f t="array" ref="H116">simpson38_logarytm($C$1,$C$2,A116)</f>
        <v>4.0471895589094213</v>
      </c>
      <c r="I116">
        <f t="shared" si="17"/>
        <v>3.2610802946919648E-9</v>
      </c>
    </row>
    <row r="117" spans="1:9" x14ac:dyDescent="0.2">
      <c r="A117" s="4">
        <v>240</v>
      </c>
      <c r="B117" s="4">
        <f t="shared" si="13"/>
        <v>1.6666666666666666E-2</v>
      </c>
      <c r="C117">
        <f t="shared" si="14"/>
        <v>4.0471895621705016</v>
      </c>
      <c r="D117" cm="1">
        <f t="array" ref="D117">calka_logarytm($C$1,$C$2,A117)</f>
        <v>4.0471710438645863</v>
      </c>
      <c r="E117">
        <f t="shared" si="15"/>
        <v>1.8518305915371513E-5</v>
      </c>
      <c r="F117" cm="1">
        <f t="array" ref="F117">simpson_logarytm($C$1,$C$2,A117)</f>
        <v>4.0471895613203621</v>
      </c>
      <c r="G117">
        <f t="shared" si="16"/>
        <v>8.5013951434120827E-10</v>
      </c>
      <c r="H117" cm="1">
        <f t="array" ref="H117">simpson38_logarytm($C$1,$C$2,A117)</f>
        <v>4.0471895602584498</v>
      </c>
      <c r="I117">
        <f t="shared" si="17"/>
        <v>1.9120518501836159E-9</v>
      </c>
    </row>
    <row r="118" spans="1:9" x14ac:dyDescent="0.2">
      <c r="A118" s="3">
        <v>270</v>
      </c>
      <c r="B118" s="3">
        <f t="shared" si="13"/>
        <v>1.4814814814814815E-2</v>
      </c>
      <c r="C118">
        <f t="shared" si="14"/>
        <v>4.0471895621705016</v>
      </c>
      <c r="D118" cm="1">
        <f t="array" ref="D118">calka_logarytm($C$1,$C$2,A118)</f>
        <v>4.0471749303873636</v>
      </c>
      <c r="E118">
        <f t="shared" si="15"/>
        <v>1.4631783137986076E-5</v>
      </c>
      <c r="F118" cm="1">
        <f t="array" ref="F118">simpson_logarytm($C$1,$C$2,A118)</f>
        <v>4.04718956163972</v>
      </c>
      <c r="G118">
        <f t="shared" si="16"/>
        <v>5.3078164086173274E-10</v>
      </c>
      <c r="H118" cm="1">
        <f t="array" ref="H118">simpson38_logarytm($C$1,$C$2,A118)</f>
        <v>4.0471895609766166</v>
      </c>
      <c r="I118">
        <f t="shared" si="17"/>
        <v>1.1938849908688098E-9</v>
      </c>
    </row>
    <row r="119" spans="1:9" x14ac:dyDescent="0.2">
      <c r="A119" s="4">
        <v>300</v>
      </c>
      <c r="B119" s="4">
        <f t="shared" si="13"/>
        <v>1.3333333333333334E-2</v>
      </c>
      <c r="C119">
        <f t="shared" si="14"/>
        <v>4.0471895621705016</v>
      </c>
      <c r="D119" cm="1">
        <f t="array" ref="D119">calka_logarytm($C$1,$C$2,A119)</f>
        <v>4.0471777104057338</v>
      </c>
      <c r="E119">
        <f t="shared" si="15"/>
        <v>1.1851764767811801E-5</v>
      </c>
      <c r="F119" cm="1">
        <f t="array" ref="F119">simpson_logarytm($C$1,$C$2,A119)</f>
        <v>4.0471895618222353</v>
      </c>
      <c r="G119">
        <f t="shared" si="16"/>
        <v>3.4826630468387521E-10</v>
      </c>
      <c r="H119" cm="1">
        <f t="array" ref="H119">simpson38_logarytm($C$1,$C$2,A119)</f>
        <v>4.0471895613871007</v>
      </c>
      <c r="I119">
        <f t="shared" si="17"/>
        <v>7.8340089970652116E-10</v>
      </c>
    </row>
    <row r="120" spans="1:9" x14ac:dyDescent="0.2">
      <c r="A120" s="3">
        <v>330</v>
      </c>
      <c r="B120" s="3">
        <f t="shared" si="13"/>
        <v>1.2121212121212121E-2</v>
      </c>
      <c r="C120">
        <f t="shared" si="14"/>
        <v>4.0471895621705016</v>
      </c>
      <c r="D120" cm="1">
        <f t="array" ref="D120">calka_logarytm($C$1,$C$2,A120)</f>
        <v>4.0471797673110954</v>
      </c>
      <c r="E120">
        <f t="shared" si="15"/>
        <v>9.7948594062202687E-6</v>
      </c>
      <c r="F120" cm="1">
        <f t="array" ref="F120">simpson_logarytm($C$1,$C$2,A120)</f>
        <v>4.0471895619326199</v>
      </c>
      <c r="G120">
        <f t="shared" si="16"/>
        <v>2.3788171432670424E-10</v>
      </c>
      <c r="H120" cm="1">
        <f t="array" ref="H120">simpson38_logarytm($C$1,$C$2,A120)</f>
        <v>4.0471895616353804</v>
      </c>
      <c r="I120">
        <f t="shared" si="17"/>
        <v>5.3512128062038755E-10</v>
      </c>
    </row>
    <row r="121" spans="1:9" x14ac:dyDescent="0.2">
      <c r="A121" s="4">
        <v>360</v>
      </c>
      <c r="B121" s="4">
        <f t="shared" si="13"/>
        <v>1.1111111111111112E-2</v>
      </c>
      <c r="C121">
        <f t="shared" si="14"/>
        <v>4.0471895621705016</v>
      </c>
      <c r="D121" cm="1">
        <f t="array" ref="D121">calka_logarytm($C$1,$C$2,A121)</f>
        <v>4.047181331759826</v>
      </c>
      <c r="E121">
        <f t="shared" si="15"/>
        <v>8.2304106756581064E-6</v>
      </c>
      <c r="F121" cm="1">
        <f t="array" ref="F121">simpson_logarytm($C$1,$C$2,A121)</f>
        <v>4.0471895620025355</v>
      </c>
      <c r="G121">
        <f t="shared" si="16"/>
        <v>1.6796608548474978E-10</v>
      </c>
      <c r="H121" cm="1">
        <f t="array" ref="H121">simpson38_logarytm($C$1,$C$2,A121)</f>
        <v>4.0471895617926448</v>
      </c>
      <c r="I121">
        <f t="shared" si="17"/>
        <v>3.7785685691460458E-10</v>
      </c>
    </row>
    <row r="122" spans="1:9" x14ac:dyDescent="0.2">
      <c r="A122" s="3">
        <v>390</v>
      </c>
      <c r="B122" s="3">
        <f t="shared" si="13"/>
        <v>1.0256410256410256E-2</v>
      </c>
      <c r="C122">
        <f t="shared" si="14"/>
        <v>4.0471895621705016</v>
      </c>
      <c r="D122" cm="1">
        <f t="array" ref="D122">calka_logarytm($C$1,$C$2,A122)</f>
        <v>4.0471825492709028</v>
      </c>
      <c r="E122">
        <f t="shared" si="15"/>
        <v>7.012899598812794E-6</v>
      </c>
      <c r="F122" cm="1">
        <f t="array" ref="F122">simpson_logarytm($C$1,$C$2,A122)</f>
        <v>4.0471895620485521</v>
      </c>
      <c r="G122">
        <f t="shared" si="16"/>
        <v>1.2194956156008629E-10</v>
      </c>
      <c r="H122" cm="1">
        <f t="array" ref="H122">simpson38_logarytm($C$1,$C$2,A122)</f>
        <v>4.0471895618961549</v>
      </c>
      <c r="I122">
        <f t="shared" si="17"/>
        <v>2.7434676752591258E-10</v>
      </c>
    </row>
    <row r="123" spans="1:9" x14ac:dyDescent="0.2">
      <c r="A123" s="4">
        <v>420</v>
      </c>
      <c r="B123" s="4">
        <f t="shared" si="13"/>
        <v>9.5238095238095247E-3</v>
      </c>
      <c r="C123">
        <f t="shared" si="14"/>
        <v>4.0471895621705016</v>
      </c>
      <c r="D123" cm="1">
        <f t="array" ref="D123">calka_logarytm($C$1,$C$2,A123)</f>
        <v>4.0471835153299844</v>
      </c>
      <c r="E123">
        <f t="shared" si="15"/>
        <v>6.0468405171931749E-6</v>
      </c>
      <c r="F123" cm="1">
        <f t="array" ref="F123">simpson_logarytm($C$1,$C$2,A123)</f>
        <v>4.0471895620798355</v>
      </c>
      <c r="G123">
        <f t="shared" si="16"/>
        <v>9.0666141261408484E-11</v>
      </c>
      <c r="H123" cm="1">
        <f t="array" ref="H123">simpson38_logarytm($C$1,$C$2,A123)</f>
        <v>4.0471895619665261</v>
      </c>
      <c r="I123">
        <f t="shared" si="17"/>
        <v>2.0397550315465196E-10</v>
      </c>
    </row>
    <row r="124" spans="1:9" x14ac:dyDescent="0.2">
      <c r="A124" s="3">
        <v>450</v>
      </c>
      <c r="B124" s="3">
        <f t="shared" si="13"/>
        <v>8.8888888888888889E-3</v>
      </c>
      <c r="C124">
        <f t="shared" si="14"/>
        <v>4.0471895621705016</v>
      </c>
      <c r="D124" cm="1">
        <f t="array" ref="D124">calka_logarytm($C$1,$C$2,A124)</f>
        <v>4.0471842946979919</v>
      </c>
      <c r="E124">
        <f t="shared" si="15"/>
        <v>5.267472509729032E-6</v>
      </c>
      <c r="F124" cm="1">
        <f t="array" ref="F124">simpson_logarytm($C$1,$C$2,A124)</f>
        <v>4.0471895621016998</v>
      </c>
      <c r="G124">
        <f t="shared" si="16"/>
        <v>6.8801853103650501E-11</v>
      </c>
      <c r="H124" cm="1">
        <f t="array" ref="H124">simpson38_logarytm($C$1,$C$2,A124)</f>
        <v>4.0471895620157126</v>
      </c>
      <c r="I124">
        <f t="shared" si="17"/>
        <v>1.5478907045007873E-10</v>
      </c>
    </row>
    <row r="125" spans="1:9" x14ac:dyDescent="0.2">
      <c r="A125" s="4">
        <v>480</v>
      </c>
      <c r="B125" s="4">
        <f t="shared" si="13"/>
        <v>8.3333333333333332E-3</v>
      </c>
      <c r="C125">
        <f t="shared" si="14"/>
        <v>4.0471895621705016</v>
      </c>
      <c r="D125" cm="1">
        <f t="array" ref="D125">calka_logarytm($C$1,$C$2,A125)</f>
        <v>4.0471849325541589</v>
      </c>
      <c r="E125">
        <f t="shared" si="15"/>
        <v>4.6296163427328452E-6</v>
      </c>
      <c r="F125" cm="1">
        <f t="array" ref="F125">simpson_logarytm($C$1,$C$2,A125)</f>
        <v>4.047189562117353</v>
      </c>
      <c r="G125">
        <f t="shared" si="16"/>
        <v>5.3148596634855494E-11</v>
      </c>
      <c r="H125" cm="1">
        <f t="array" ref="H125">simpson38_logarytm($C$1,$C$2,A125)</f>
        <v>4.0471895620509271</v>
      </c>
      <c r="I125">
        <f t="shared" si="17"/>
        <v>1.1957457246580816E-10</v>
      </c>
    </row>
    <row r="126" spans="1:9" x14ac:dyDescent="0.2">
      <c r="A126" s="3">
        <v>510</v>
      </c>
      <c r="B126" s="3">
        <f t="shared" si="13"/>
        <v>7.8431372549019607E-3</v>
      </c>
      <c r="C126">
        <f t="shared" si="14"/>
        <v>4.0471895621705016</v>
      </c>
      <c r="D126" cm="1">
        <f t="array" ref="D126">calka_logarytm($C$1,$C$2,A126)</f>
        <v>4.0471854611941298</v>
      </c>
      <c r="E126">
        <f t="shared" si="15"/>
        <v>4.1009763718236059E-6</v>
      </c>
      <c r="F126" cm="1">
        <f t="array" ref="F126">simpson_logarytm($C$1,$C$2,A126)</f>
        <v>4.0471895621287954</v>
      </c>
      <c r="G126">
        <f t="shared" si="16"/>
        <v>4.1706194053858781E-11</v>
      </c>
      <c r="H126" cm="1">
        <f t="array" ref="H126">simpson38_logarytm($C$1,$C$2,A126)</f>
        <v>4.0471895620766736</v>
      </c>
      <c r="I126">
        <f t="shared" si="17"/>
        <v>9.382805643554093E-11</v>
      </c>
    </row>
    <row r="127" spans="1:9" x14ac:dyDescent="0.2">
      <c r="A127" s="4">
        <v>540</v>
      </c>
      <c r="B127" s="4">
        <f t="shared" si="13"/>
        <v>7.4074074074074077E-3</v>
      </c>
      <c r="C127">
        <f t="shared" si="14"/>
        <v>4.0471895621705016</v>
      </c>
      <c r="D127" cm="1">
        <f t="array" ref="D127">calka_logarytm($C$1,$C$2,A127)</f>
        <v>4.0471859041998339</v>
      </c>
      <c r="E127">
        <f t="shared" si="15"/>
        <v>3.6579706677031254E-6</v>
      </c>
      <c r="F127" cm="1">
        <f t="array" ref="F127">simpson_logarytm($C$1,$C$2,A127)</f>
        <v>4.0471895621373184</v>
      </c>
      <c r="G127">
        <f t="shared" si="16"/>
        <v>3.3183233938416379E-11</v>
      </c>
      <c r="H127" cm="1">
        <f t="array" ref="H127">simpson38_logarytm($C$1,$C$2,A127)</f>
        <v>4.0471895620958485</v>
      </c>
      <c r="I127">
        <f t="shared" si="17"/>
        <v>7.4653172532634926E-11</v>
      </c>
    </row>
    <row r="128" spans="1:9" x14ac:dyDescent="0.2">
      <c r="A128" s="3">
        <v>570</v>
      </c>
      <c r="B128" s="3">
        <f t="shared" si="13"/>
        <v>7.0175438596491229E-3</v>
      </c>
      <c r="C128">
        <f t="shared" si="14"/>
        <v>4.0471895621705016</v>
      </c>
      <c r="D128" cm="1">
        <f t="array" ref="D128">calka_logarytm($C$1,$C$2,A128)</f>
        <v>4.0471862791157314</v>
      </c>
      <c r="E128">
        <f t="shared" si="15"/>
        <v>3.2830547702644708E-6</v>
      </c>
      <c r="F128" cm="1">
        <f t="array" ref="F128">simpson_logarytm($C$1,$C$2,A128)</f>
        <v>4.047189562143771</v>
      </c>
      <c r="G128">
        <f t="shared" si="16"/>
        <v>2.6730617719294969E-11</v>
      </c>
      <c r="H128" cm="1">
        <f t="array" ref="H128">simpson38_logarytm($C$1,$C$2,A128)</f>
        <v>4.0471895621103657</v>
      </c>
      <c r="I128">
        <f t="shared" si="17"/>
        <v>6.0135896262636379E-11</v>
      </c>
    </row>
    <row r="129" spans="1:9" x14ac:dyDescent="0.2">
      <c r="A129" s="4">
        <v>600</v>
      </c>
      <c r="B129" s="4">
        <f t="shared" si="13"/>
        <v>6.6666666666666671E-3</v>
      </c>
      <c r="C129">
        <f t="shared" si="14"/>
        <v>4.0471895621705016</v>
      </c>
      <c r="D129" cm="1">
        <f t="array" ref="D129">calka_logarytm($C$1,$C$2,A129)</f>
        <v>4.0471865992129823</v>
      </c>
      <c r="E129">
        <f t="shared" si="15"/>
        <v>2.9629575193368396E-6</v>
      </c>
      <c r="F129" cm="1">
        <f t="array" ref="F129">simpson_logarytm($C$1,$C$2,A129)</f>
        <v>4.0471895621487297</v>
      </c>
      <c r="G129">
        <f t="shared" si="16"/>
        <v>2.177191760210917E-11</v>
      </c>
      <c r="H129" cm="1">
        <f t="array" ref="H129">simpson38_logarytm($C$1,$C$2,A129)</f>
        <v>4.0471895621215213</v>
      </c>
      <c r="I129">
        <f t="shared" si="17"/>
        <v>4.8980375311202806E-11</v>
      </c>
    </row>
    <row r="130" spans="1:9" x14ac:dyDescent="0.2">
      <c r="A130" s="3">
        <v>630</v>
      </c>
      <c r="B130" s="3">
        <f t="shared" si="13"/>
        <v>6.3492063492063492E-3</v>
      </c>
      <c r="C130">
        <f t="shared" si="14"/>
        <v>4.0471895621705016</v>
      </c>
      <c r="D130" cm="1">
        <f t="array" ref="D130">calka_logarytm($C$1,$C$2,A130)</f>
        <v>4.0471868746802269</v>
      </c>
      <c r="E130">
        <f t="shared" si="15"/>
        <v>2.6874902747664464E-6</v>
      </c>
      <c r="F130" cm="1">
        <f t="array" ref="F130">simpson_logarytm($C$1,$C$2,A130)</f>
        <v>4.0471895621525906</v>
      </c>
      <c r="G130">
        <f t="shared" si="16"/>
        <v>1.7911006011672725E-11</v>
      </c>
      <c r="H130" cm="1">
        <f t="array" ref="H130">simpson38_logarytm($C$1,$C$2,A130)</f>
        <v>4.0471895621302059</v>
      </c>
      <c r="I130">
        <f t="shared" si="17"/>
        <v>4.0295766723374982E-11</v>
      </c>
    </row>
    <row r="131" spans="1:9" x14ac:dyDescent="0.2">
      <c r="A131" s="4">
        <v>660</v>
      </c>
      <c r="B131" s="4">
        <f t="shared" si="13"/>
        <v>6.0606060606060606E-3</v>
      </c>
      <c r="C131">
        <f t="shared" si="14"/>
        <v>4.0471895621705016</v>
      </c>
      <c r="D131" cm="1">
        <f t="array" ref="D131">calka_logarytm($C$1,$C$2,A131)</f>
        <v>4.0471871134444966</v>
      </c>
      <c r="E131">
        <f t="shared" si="15"/>
        <v>2.4487260050776172E-6</v>
      </c>
      <c r="F131" cm="1">
        <f t="array" ref="F131">simpson_logarytm($C$1,$C$2,A131)</f>
        <v>4.0471895621556317</v>
      </c>
      <c r="G131">
        <f t="shared" si="16"/>
        <v>1.4869883102619497E-11</v>
      </c>
      <c r="H131" cm="1">
        <f t="array" ref="H131">simpson38_logarytm($C$1,$C$2,A131)</f>
        <v>4.0471895621370466</v>
      </c>
      <c r="I131">
        <f t="shared" si="17"/>
        <v>3.3455016534844617E-11</v>
      </c>
    </row>
    <row r="132" spans="1:9" x14ac:dyDescent="0.2">
      <c r="A132" s="3">
        <v>690</v>
      </c>
      <c r="B132" s="3">
        <f t="shared" si="13"/>
        <v>5.7971014492753624E-3</v>
      </c>
      <c r="C132">
        <f t="shared" si="14"/>
        <v>4.0471895621705016</v>
      </c>
      <c r="D132" cm="1">
        <f t="array" ref="D132">calka_logarytm($C$1,$C$2,A132)</f>
        <v>4.0471873217479279</v>
      </c>
      <c r="E132">
        <f t="shared" si="15"/>
        <v>2.2404225736849526E-6</v>
      </c>
      <c r="F132" cm="1">
        <f t="array" ref="F132">simpson_logarytm($C$1,$C$2,A132)</f>
        <v>4.0471895621580538</v>
      </c>
      <c r="G132">
        <f t="shared" si="16"/>
        <v>1.2447820552097255E-11</v>
      </c>
      <c r="H132" cm="1">
        <f t="array" ref="H132">simpson38_logarytm($C$1,$C$2,A132)</f>
        <v>4.0471895621424965</v>
      </c>
      <c r="I132">
        <f t="shared" si="17"/>
        <v>2.8005153751564649E-11</v>
      </c>
    </row>
    <row r="133" spans="1:9" x14ac:dyDescent="0.2">
      <c r="A133" s="4">
        <v>720</v>
      </c>
      <c r="B133" s="4">
        <f t="shared" si="13"/>
        <v>5.5555555555555558E-3</v>
      </c>
      <c r="C133">
        <f t="shared" si="14"/>
        <v>4.0471895621705016</v>
      </c>
      <c r="D133" cm="1">
        <f t="array" ref="D133">calka_logarytm($C$1,$C$2,A133)</f>
        <v>4.0471875045599583</v>
      </c>
      <c r="E133">
        <f t="shared" si="15"/>
        <v>2.057610543282351E-6</v>
      </c>
      <c r="F133" cm="1">
        <f t="array" ref="F133">simpson_logarytm($C$1,$C$2,A133)</f>
        <v>4.0471895621600051</v>
      </c>
      <c r="G133">
        <f t="shared" si="16"/>
        <v>1.049649256401608E-11</v>
      </c>
      <c r="H133" cm="1">
        <f t="array" ref="H133">simpson38_logarytm($C$1,$C$2,A133)</f>
        <v>4.0471895621468805</v>
      </c>
      <c r="I133">
        <f t="shared" si="17"/>
        <v>2.3621105071924831E-11</v>
      </c>
    </row>
    <row r="134" spans="1:9" x14ac:dyDescent="0.2">
      <c r="A134" s="3">
        <v>750</v>
      </c>
      <c r="B134" s="3">
        <f t="shared" si="13"/>
        <v>5.3333333333333332E-3</v>
      </c>
      <c r="C134">
        <f t="shared" si="14"/>
        <v>4.0471895621705016</v>
      </c>
      <c r="D134" cm="1">
        <f t="array" ref="D134">calka_logarytm($C$1,$C$2,A134)</f>
        <v>4.0471876658764341</v>
      </c>
      <c r="E134">
        <f t="shared" si="15"/>
        <v>1.8962940675493201E-6</v>
      </c>
      <c r="F134" cm="1">
        <f t="array" ref="F134">simpson_logarytm($C$1,$C$2,A134)</f>
        <v>4.0471895621615825</v>
      </c>
      <c r="G134">
        <f t="shared" si="16"/>
        <v>8.9190876906286576E-12</v>
      </c>
      <c r="H134" cm="1">
        <f t="array" ref="H134">simpson38_logarytm($C$1,$C$2,A134)</f>
        <v>4.0471895621504386</v>
      </c>
      <c r="I134">
        <f t="shared" si="17"/>
        <v>2.0063062322606129E-11</v>
      </c>
    </row>
    <row r="135" spans="1:9" x14ac:dyDescent="0.2">
      <c r="A135" s="4">
        <v>780</v>
      </c>
      <c r="B135" s="4">
        <f t="shared" si="13"/>
        <v>5.1282051282051282E-3</v>
      </c>
      <c r="C135">
        <f t="shared" si="14"/>
        <v>4.0471895621705016</v>
      </c>
      <c r="D135" cm="1">
        <f t="array" ref="D135">calka_logarytm($C$1,$C$2,A135)</f>
        <v>4.0471878089398867</v>
      </c>
      <c r="E135">
        <f t="shared" si="15"/>
        <v>1.7532306149092847E-6</v>
      </c>
      <c r="F135" cm="1">
        <f t="array" ref="F135">simpson_logarytm($C$1,$C$2,A135)</f>
        <v>4.0471895621628784</v>
      </c>
      <c r="G135">
        <f t="shared" si="16"/>
        <v>7.6232353762861749E-12</v>
      </c>
      <c r="H135" cm="1">
        <f t="array" ref="H135">simpson38_logarytm($C$1,$C$2,A135)</f>
        <v>4.0471895621533509</v>
      </c>
      <c r="I135">
        <f t="shared" si="17"/>
        <v>1.7150725284409418E-11</v>
      </c>
    </row>
    <row r="136" spans="1:9" x14ac:dyDescent="0.2">
      <c r="A136" s="3">
        <v>810</v>
      </c>
      <c r="B136" s="3">
        <f t="shared" si="13"/>
        <v>4.9382716049382715E-3</v>
      </c>
      <c r="C136">
        <f t="shared" si="14"/>
        <v>4.0471895621705016</v>
      </c>
      <c r="D136" cm="1">
        <f t="array" ref="D136">calka_logarytm($C$1,$C$2,A136)</f>
        <v>4.0471879364037102</v>
      </c>
      <c r="E136">
        <f t="shared" si="15"/>
        <v>1.6257667914132412E-6</v>
      </c>
      <c r="F136" cm="1">
        <f t="array" ref="F136">simpson_logarytm($C$1,$C$2,A136)</f>
        <v>4.0471895621639487</v>
      </c>
      <c r="G136">
        <f t="shared" si="16"/>
        <v>6.552980380547524E-12</v>
      </c>
      <c r="H136" cm="1">
        <f t="array" ref="H136">simpson38_logarytm($C$1,$C$2,A136)</f>
        <v>4.0471895621557534</v>
      </c>
      <c r="I136">
        <f t="shared" si="17"/>
        <v>1.4748202659120579E-11</v>
      </c>
    </row>
    <row r="137" spans="1:9" x14ac:dyDescent="0.2">
      <c r="A137" s="4">
        <v>840</v>
      </c>
      <c r="B137" s="4">
        <f t="shared" si="13"/>
        <v>4.7619047619047623E-3</v>
      </c>
      <c r="C137">
        <f t="shared" si="14"/>
        <v>4.0471895621705016</v>
      </c>
      <c r="D137" cm="1">
        <f t="array" ref="D137">calka_logarytm($C$1,$C$2,A137)</f>
        <v>4.0471880504561186</v>
      </c>
      <c r="E137">
        <f t="shared" si="15"/>
        <v>1.5117143830067903E-6</v>
      </c>
      <c r="F137" cm="1">
        <f t="array" ref="F137">simpson_logarytm($C$1,$C$2,A137)</f>
        <v>4.0471895621648359</v>
      </c>
      <c r="G137">
        <f t="shared" si="16"/>
        <v>5.6656901392670989E-12</v>
      </c>
      <c r="H137" cm="1">
        <f t="array" ref="H137">simpson38_logarytm($C$1,$C$2,A137)</f>
        <v>4.0471895621577518</v>
      </c>
      <c r="I137">
        <f t="shared" si="17"/>
        <v>1.2749801214795298E-11</v>
      </c>
    </row>
    <row r="138" spans="1:9" x14ac:dyDescent="0.2">
      <c r="A138" s="3">
        <v>870</v>
      </c>
      <c r="B138" s="3">
        <f t="shared" si="13"/>
        <v>4.5977011494252873E-3</v>
      </c>
      <c r="C138">
        <f t="shared" si="14"/>
        <v>4.0471895621705016</v>
      </c>
      <c r="D138" cm="1">
        <f t="array" ref="D138">calka_logarytm($C$1,$C$2,A138)</f>
        <v>4.0471881529146794</v>
      </c>
      <c r="E138">
        <f t="shared" si="15"/>
        <v>1.409255822260036E-6</v>
      </c>
      <c r="F138" cm="1">
        <f t="array" ref="F138">simpson_logarytm($C$1,$C$2,A138)</f>
        <v>4.0471895621655793</v>
      </c>
      <c r="G138">
        <f t="shared" si="16"/>
        <v>4.922284801978094E-12</v>
      </c>
      <c r="H138" cm="1">
        <f t="array" ref="H138">simpson38_logarytm($C$1,$C$2,A138)</f>
        <v>4.0471895621594198</v>
      </c>
      <c r="I138">
        <f t="shared" si="17"/>
        <v>1.1081802142598463E-11</v>
      </c>
    </row>
    <row r="139" spans="1:9" x14ac:dyDescent="0.2">
      <c r="A139" s="4">
        <v>900</v>
      </c>
      <c r="B139" s="4">
        <f t="shared" si="13"/>
        <v>4.4444444444444444E-3</v>
      </c>
      <c r="C139">
        <f t="shared" si="14"/>
        <v>4.0471895621705016</v>
      </c>
      <c r="D139" cm="1">
        <f t="array" ref="D139">calka_logarytm($C$1,$C$2,A139)</f>
        <v>4.0471882452991466</v>
      </c>
      <c r="E139">
        <f t="shared" si="15"/>
        <v>1.3168713550726352E-6</v>
      </c>
      <c r="F139" cm="1">
        <f t="array" ref="F139">simpson_logarytm($C$1,$C$2,A139)</f>
        <v>4.0471895621662011</v>
      </c>
      <c r="G139">
        <f t="shared" si="16"/>
        <v>4.3005599081880064E-12</v>
      </c>
      <c r="H139" cm="1">
        <f t="array" ref="H139">simpson38_logarytm($C$1,$C$2,A139)</f>
        <v>4.0471895621608258</v>
      </c>
      <c r="I139">
        <f t="shared" si="17"/>
        <v>9.6758157042131643E-12</v>
      </c>
    </row>
    <row r="140" spans="1:9" x14ac:dyDescent="0.2">
      <c r="A140" s="3">
        <v>930</v>
      </c>
      <c r="B140" s="3">
        <f t="shared" si="13"/>
        <v>4.3010752688172043E-3</v>
      </c>
      <c r="C140">
        <f t="shared" si="14"/>
        <v>4.0471895621705016</v>
      </c>
      <c r="D140" cm="1">
        <f t="array" ref="D140">calka_logarytm($C$1,$C$2,A140)</f>
        <v>4.0471883288882147</v>
      </c>
      <c r="E140">
        <f t="shared" si="15"/>
        <v>1.2332822869609572E-6</v>
      </c>
      <c r="F140" cm="1">
        <f t="array" ref="F140">simpson_logarytm($C$1,$C$2,A140)</f>
        <v>4.0471895621667295</v>
      </c>
      <c r="G140">
        <f t="shared" si="16"/>
        <v>3.7720937484664319E-12</v>
      </c>
      <c r="H140" cm="1">
        <f t="array" ref="H140">simpson38_logarytm($C$1,$C$2,A140)</f>
        <v>4.0471895621620151</v>
      </c>
      <c r="I140">
        <f t="shared" si="17"/>
        <v>8.4865448002346966E-12</v>
      </c>
    </row>
    <row r="141" spans="1:9" x14ac:dyDescent="0.2">
      <c r="A141" s="4">
        <v>960</v>
      </c>
      <c r="B141" s="4">
        <f t="shared" si="13"/>
        <v>4.1666666666666666E-3</v>
      </c>
      <c r="C141">
        <f t="shared" si="14"/>
        <v>4.0471895621705016</v>
      </c>
      <c r="D141" cm="1">
        <f t="array" ref="D141">calka_logarytm($C$1,$C$2,A141)</f>
        <v>4.0471884047639231</v>
      </c>
      <c r="E141">
        <f t="shared" si="15"/>
        <v>1.1574065785779908E-6</v>
      </c>
      <c r="F141" cm="1">
        <f t="array" ref="F141">simpson_logarytm($C$1,$C$2,A141)</f>
        <v>4.0471895621671798</v>
      </c>
      <c r="G141">
        <f t="shared" si="16"/>
        <v>3.3217872896784684E-12</v>
      </c>
      <c r="H141" cm="1">
        <f t="array" ref="H141">simpson38_logarytm($C$1,$C$2,A141)</f>
        <v>4.0471895621630276</v>
      </c>
      <c r="I141">
        <f t="shared" si="17"/>
        <v>7.4740214017765538E-12</v>
      </c>
    </row>
    <row r="142" spans="1:9" x14ac:dyDescent="0.2">
      <c r="A142" s="3">
        <v>990</v>
      </c>
      <c r="B142" s="3">
        <f t="shared" si="13"/>
        <v>4.0404040404040404E-3</v>
      </c>
      <c r="C142">
        <f t="shared" si="14"/>
        <v>4.0471895621705016</v>
      </c>
      <c r="D142" cm="1">
        <f t="array" ref="D142">calka_logarytm($C$1,$C$2,A142)</f>
        <v>4.0471884738469157</v>
      </c>
      <c r="E142">
        <f t="shared" si="15"/>
        <v>1.0883235859182605E-6</v>
      </c>
      <c r="F142" cm="1">
        <f t="array" ref="F142">simpson_logarytm($C$1,$C$2,A142)</f>
        <v>4.0471895621675644</v>
      </c>
      <c r="G142">
        <f t="shared" si="16"/>
        <v>2.9372060339483141E-12</v>
      </c>
      <c r="H142" cm="1">
        <f t="array" ref="H142">simpson38_logarytm($C$1,$C$2,A142)</f>
        <v>4.0471895621638945</v>
      </c>
      <c r="I142">
        <f t="shared" si="17"/>
        <v>6.6071592641492316E-12</v>
      </c>
    </row>
  </sheetData>
  <phoneticPr fontId="1" type="noConversion"/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2022-11-10T19:41:03Z</dcterms:created>
  <dcterms:modified xsi:type="dcterms:W3CDTF">2022-11-25T21:14:16Z</dcterms:modified>
</cp:coreProperties>
</file>